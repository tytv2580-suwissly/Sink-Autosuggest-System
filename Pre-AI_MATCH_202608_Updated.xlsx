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tyl8\OneDrive\a밸류마크TWO\(주)나나플러스홈\연구서운영관리\연구노트\"/>
    </mc:Choice>
  </mc:AlternateContent>
  <bookViews>
    <workbookView xWindow="0" yWindow="0" windowWidth="18260" windowHeight="11320" activeTab="1"/>
  </bookViews>
  <sheets>
    <sheet name="INPUT" sheetId="1" r:id="rId1"/>
    <sheet name="DB" sheetId="2" r:id="rId2"/>
    <sheet name="RULE" sheetId="3" r:id="rId3"/>
    <sheet name="OUTPUT" sheetId="4" r:id="rId4"/>
    <sheet name="ANALYSIS_202607" sheetId="5" r:id="rId5"/>
    <sheet name="TEST_RESULTS_202607" sheetId="6" r:id="rId6"/>
    <sheet name="CAPTURE_GUIDE" sheetId="7" r:id="rId7"/>
    <sheet name="ANALYSIS_202608" sheetId="8" r:id="rId8"/>
    <sheet name="LOG_202608" sheetId="9" r:id="rId9"/>
    <sheet name="METRICS_202608" sheetId="10" r:id="rId10"/>
  </sheets>
  <calcPr calcId="152511"/>
</workbook>
</file>

<file path=xl/calcChain.xml><?xml version="1.0" encoding="utf-8"?>
<calcChain xmlns="http://schemas.openxmlformats.org/spreadsheetml/2006/main">
  <c r="D25" i="10" l="1"/>
  <c r="B25" i="10"/>
  <c r="D24" i="10"/>
  <c r="B24" i="10"/>
  <c r="D23" i="10"/>
  <c r="B23" i="10"/>
  <c r="D22" i="10"/>
  <c r="B22" i="10"/>
  <c r="D21" i="10"/>
  <c r="B21" i="10"/>
  <c r="D20" i="10"/>
  <c r="B20" i="10"/>
  <c r="D19" i="10"/>
  <c r="B19" i="10"/>
  <c r="D18" i="10"/>
  <c r="B18" i="10"/>
  <c r="D17" i="10"/>
  <c r="B17" i="10"/>
  <c r="D16" i="10"/>
  <c r="B16" i="10"/>
  <c r="D15" i="10"/>
  <c r="B15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D8" i="10"/>
  <c r="B8" i="10"/>
  <c r="H7" i="10"/>
  <c r="D7" i="10"/>
  <c r="B7" i="10"/>
  <c r="H6" i="10"/>
  <c r="D6" i="10"/>
  <c r="B6" i="10"/>
  <c r="H5" i="10"/>
  <c r="B5" i="10"/>
  <c r="D5" i="10" s="1"/>
  <c r="R55" i="9"/>
  <c r="A55" i="9"/>
  <c r="R54" i="9"/>
  <c r="A54" i="9"/>
  <c r="R53" i="9"/>
  <c r="A53" i="9"/>
  <c r="R52" i="9"/>
  <c r="A52" i="9"/>
  <c r="R51" i="9"/>
  <c r="A51" i="9"/>
  <c r="R50" i="9"/>
  <c r="A50" i="9"/>
  <c r="R49" i="9"/>
  <c r="A49" i="9"/>
  <c r="R48" i="9"/>
  <c r="A48" i="9"/>
  <c r="R47" i="9"/>
  <c r="A47" i="9"/>
  <c r="R46" i="9"/>
  <c r="A46" i="9"/>
  <c r="R45" i="9"/>
  <c r="A45" i="9"/>
  <c r="R44" i="9"/>
  <c r="A44" i="9"/>
  <c r="R43" i="9"/>
  <c r="A43" i="9"/>
  <c r="R42" i="9"/>
  <c r="A42" i="9"/>
  <c r="R41" i="9"/>
  <c r="A41" i="9"/>
  <c r="R40" i="9"/>
  <c r="A40" i="9"/>
  <c r="R39" i="9"/>
  <c r="A39" i="9"/>
  <c r="R38" i="9"/>
  <c r="A38" i="9"/>
  <c r="R37" i="9"/>
  <c r="A37" i="9"/>
  <c r="R36" i="9"/>
  <c r="A36" i="9"/>
  <c r="R35" i="9"/>
  <c r="A35" i="9"/>
  <c r="R34" i="9"/>
  <c r="A34" i="9"/>
  <c r="R33" i="9"/>
  <c r="A33" i="9"/>
  <c r="R32" i="9"/>
  <c r="A32" i="9"/>
  <c r="R31" i="9"/>
  <c r="A31" i="9"/>
  <c r="R30" i="9"/>
  <c r="A30" i="9"/>
  <c r="R29" i="9"/>
  <c r="A29" i="9"/>
  <c r="R28" i="9"/>
  <c r="A28" i="9"/>
  <c r="R27" i="9"/>
  <c r="A27" i="9"/>
  <c r="R26" i="9"/>
  <c r="A26" i="9"/>
  <c r="R25" i="9"/>
  <c r="A25" i="9"/>
  <c r="R24" i="9"/>
  <c r="A24" i="9"/>
  <c r="R23" i="9"/>
  <c r="A23" i="9"/>
  <c r="R22" i="9"/>
  <c r="A22" i="9"/>
  <c r="R21" i="9"/>
  <c r="A21" i="9"/>
  <c r="R20" i="9"/>
  <c r="A20" i="9"/>
  <c r="R19" i="9"/>
  <c r="A19" i="9"/>
  <c r="R18" i="9"/>
  <c r="A18" i="9"/>
  <c r="R17" i="9"/>
  <c r="A17" i="9"/>
  <c r="R16" i="9"/>
  <c r="A16" i="9"/>
  <c r="R15" i="9"/>
  <c r="A15" i="9"/>
  <c r="R14" i="9"/>
  <c r="A14" i="9"/>
  <c r="R13" i="9"/>
  <c r="A13" i="9"/>
  <c r="R12" i="9"/>
  <c r="A12" i="9"/>
  <c r="R11" i="9"/>
  <c r="A11" i="9"/>
  <c r="R10" i="9"/>
  <c r="A10" i="9"/>
  <c r="R9" i="9"/>
  <c r="A9" i="9"/>
  <c r="R8" i="9"/>
  <c r="A8" i="9"/>
  <c r="R7" i="9"/>
  <c r="A7" i="9"/>
  <c r="R6" i="9"/>
  <c r="A6" i="9"/>
  <c r="C16" i="8"/>
  <c r="C15" i="8"/>
  <c r="C14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B5" i="4"/>
  <c r="B2" i="4"/>
  <c r="B4" i="4" s="1"/>
  <c r="W43" i="2"/>
  <c r="X43" i="2" s="1"/>
  <c r="V43" i="2"/>
  <c r="A43" i="2"/>
  <c r="V42" i="2"/>
  <c r="W42" i="2" s="1"/>
  <c r="X42" i="2" s="1"/>
  <c r="A42" i="2"/>
  <c r="W41" i="2"/>
  <c r="X41" i="2" s="1"/>
  <c r="V41" i="2"/>
  <c r="A41" i="2"/>
  <c r="V40" i="2"/>
  <c r="W40" i="2" s="1"/>
  <c r="X40" i="2" s="1"/>
  <c r="A40" i="2"/>
  <c r="W39" i="2"/>
  <c r="X39" i="2" s="1"/>
  <c r="V39" i="2"/>
  <c r="A39" i="2"/>
  <c r="V38" i="2"/>
  <c r="W38" i="2" s="1"/>
  <c r="X38" i="2" s="1"/>
  <c r="A38" i="2"/>
  <c r="W37" i="2"/>
  <c r="X37" i="2" s="1"/>
  <c r="V37" i="2"/>
  <c r="A37" i="2"/>
  <c r="V36" i="2"/>
  <c r="W36" i="2" s="1"/>
  <c r="X36" i="2" s="1"/>
  <c r="A36" i="2"/>
  <c r="W35" i="2"/>
  <c r="X35" i="2" s="1"/>
  <c r="V35" i="2"/>
  <c r="A35" i="2"/>
  <c r="V34" i="2"/>
  <c r="W34" i="2" s="1"/>
  <c r="X34" i="2" s="1"/>
  <c r="A34" i="2"/>
  <c r="W33" i="2"/>
  <c r="X33" i="2" s="1"/>
  <c r="V33" i="2"/>
  <c r="A33" i="2"/>
  <c r="V32" i="2"/>
  <c r="W32" i="2" s="1"/>
  <c r="X32" i="2" s="1"/>
  <c r="A32" i="2"/>
  <c r="W31" i="2"/>
  <c r="X31" i="2" s="1"/>
  <c r="V31" i="2"/>
  <c r="A31" i="2"/>
  <c r="V30" i="2"/>
  <c r="W30" i="2" s="1"/>
  <c r="X30" i="2" s="1"/>
  <c r="A30" i="2"/>
  <c r="W29" i="2"/>
  <c r="X29" i="2" s="1"/>
  <c r="V29" i="2"/>
  <c r="A29" i="2"/>
  <c r="V28" i="2"/>
  <c r="W28" i="2" s="1"/>
  <c r="X28" i="2" s="1"/>
  <c r="A28" i="2"/>
  <c r="W27" i="2"/>
  <c r="X27" i="2" s="1"/>
  <c r="V27" i="2"/>
  <c r="A27" i="2"/>
  <c r="V26" i="2"/>
  <c r="W26" i="2" s="1"/>
  <c r="X26" i="2" s="1"/>
  <c r="A26" i="2"/>
  <c r="W25" i="2"/>
  <c r="X25" i="2" s="1"/>
  <c r="V25" i="2"/>
  <c r="A25" i="2"/>
  <c r="V24" i="2"/>
  <c r="W24" i="2" s="1"/>
  <c r="X24" i="2" s="1"/>
  <c r="A24" i="2"/>
  <c r="W23" i="2"/>
  <c r="X23" i="2" s="1"/>
  <c r="V23" i="2"/>
  <c r="A23" i="2"/>
  <c r="V22" i="2"/>
  <c r="W22" i="2" s="1"/>
  <c r="X22" i="2" s="1"/>
  <c r="A22" i="2"/>
  <c r="W21" i="2"/>
  <c r="X21" i="2" s="1"/>
  <c r="V21" i="2"/>
  <c r="A21" i="2"/>
  <c r="V20" i="2"/>
  <c r="W20" i="2" s="1"/>
  <c r="X20" i="2" s="1"/>
  <c r="A20" i="2"/>
  <c r="W19" i="2"/>
  <c r="X19" i="2" s="1"/>
  <c r="V19" i="2"/>
  <c r="A19" i="2"/>
  <c r="V18" i="2"/>
  <c r="W18" i="2" s="1"/>
  <c r="X18" i="2" s="1"/>
  <c r="A18" i="2"/>
  <c r="W17" i="2"/>
  <c r="X17" i="2" s="1"/>
  <c r="V17" i="2"/>
  <c r="A17" i="2"/>
  <c r="V16" i="2"/>
  <c r="W16" i="2" s="1"/>
  <c r="X16" i="2" s="1"/>
  <c r="A16" i="2"/>
  <c r="W15" i="2"/>
  <c r="X15" i="2" s="1"/>
  <c r="V15" i="2"/>
  <c r="A15" i="2"/>
  <c r="V14" i="2"/>
  <c r="W14" i="2" s="1"/>
  <c r="X14" i="2" s="1"/>
  <c r="A14" i="2"/>
  <c r="W13" i="2"/>
  <c r="X13" i="2" s="1"/>
  <c r="V13" i="2"/>
  <c r="A13" i="2"/>
  <c r="V12" i="2"/>
  <c r="W12" i="2" s="1"/>
  <c r="X12" i="2" s="1"/>
  <c r="A12" i="2"/>
  <c r="W11" i="2"/>
  <c r="X11" i="2" s="1"/>
  <c r="V11" i="2"/>
  <c r="A11" i="2"/>
  <c r="V10" i="2"/>
  <c r="W10" i="2" s="1"/>
  <c r="X10" i="2" s="1"/>
  <c r="A10" i="2"/>
  <c r="W9" i="2"/>
  <c r="X9" i="2" s="1"/>
  <c r="V9" i="2"/>
  <c r="A9" i="2"/>
  <c r="V8" i="2"/>
  <c r="W8" i="2" s="1"/>
  <c r="X8" i="2" s="1"/>
  <c r="A8" i="2"/>
  <c r="W7" i="2"/>
  <c r="X7" i="2" s="1"/>
  <c r="V7" i="2"/>
  <c r="A7" i="2"/>
  <c r="V6" i="2"/>
  <c r="W6" i="2" s="1"/>
  <c r="X6" i="2" s="1"/>
  <c r="A6" i="2"/>
  <c r="W5" i="2"/>
  <c r="X5" i="2" s="1"/>
  <c r="V5" i="2"/>
  <c r="A5" i="2"/>
  <c r="V4" i="2"/>
  <c r="W4" i="2" s="1"/>
  <c r="X4" i="2" s="1"/>
  <c r="A4" i="2"/>
  <c r="W3" i="2"/>
  <c r="X3" i="2" s="1"/>
  <c r="V3" i="2"/>
  <c r="A3" i="2"/>
  <c r="V2" i="2"/>
  <c r="W2" i="2" s="1"/>
  <c r="X2" i="2" s="1"/>
  <c r="A2" i="2"/>
  <c r="B6" i="4" l="1"/>
  <c r="C6" i="4" s="1"/>
  <c r="B31" i="4"/>
  <c r="B30" i="4"/>
  <c r="B8" i="4"/>
  <c r="C8" i="4" s="1"/>
  <c r="B7" i="4"/>
  <c r="C7" i="4" s="1"/>
  <c r="B3" i="4"/>
</calcChain>
</file>

<file path=xl/sharedStrings.xml><?xml version="1.0" encoding="utf-8"?>
<sst xmlns="http://schemas.openxmlformats.org/spreadsheetml/2006/main" count="862" uniqueCount="206">
  <si>
    <t>항목</t>
  </si>
  <si>
    <t>입력값</t>
  </si>
  <si>
    <t>[입력값 리스트]</t>
  </si>
  <si>
    <t>시설구분</t>
  </si>
  <si>
    <t>돌봄센터</t>
  </si>
  <si>
    <t>선택</t>
  </si>
  <si>
    <t>형태</t>
  </si>
  <si>
    <t>일자</t>
  </si>
  <si>
    <t>C</t>
  </si>
  <si>
    <t>공간 W (가로, mm)</t>
  </si>
  <si>
    <t>수치입력</t>
  </si>
  <si>
    <t>시니어클럽</t>
  </si>
  <si>
    <t>ㄱ자</t>
  </si>
  <si>
    <t>L</t>
  </si>
  <si>
    <t>공간 D (세로, mm)</t>
  </si>
  <si>
    <t>어린이집</t>
  </si>
  <si>
    <t>ㄷ자</t>
  </si>
  <si>
    <t>R</t>
  </si>
  <si>
    <t>공간 H (높이, mm)</t>
  </si>
  <si>
    <t>용역원실</t>
  </si>
  <si>
    <t>X</t>
  </si>
  <si>
    <t>L/R</t>
  </si>
  <si>
    <t>분배기 위치</t>
  </si>
  <si>
    <t>탕비실</t>
  </si>
  <si>
    <t>수도 위치</t>
  </si>
  <si>
    <t>가스배관 위치</t>
  </si>
  <si>
    <t>전기 위치</t>
  </si>
  <si>
    <t>key</t>
  </si>
  <si>
    <t>공간W (가로)</t>
  </si>
  <si>
    <t>공간D (세로)</t>
  </si>
  <si>
    <t>공간H (높이)</t>
  </si>
  <si>
    <t xml:space="preserve">가스배관 위치 </t>
  </si>
  <si>
    <t>싱크볼장W</t>
  </si>
  <si>
    <t>하부 D (mm)</t>
  </si>
  <si>
    <t>상부 D (mm)</t>
  </si>
  <si>
    <t>출처</t>
  </si>
  <si>
    <t>방염</t>
  </si>
  <si>
    <t>대리석 모델 (롯데스타론)</t>
  </si>
  <si>
    <t>분배기</t>
  </si>
  <si>
    <t>하부 따내기</t>
  </si>
  <si>
    <t>가스 타공</t>
  </si>
  <si>
    <t>이동 선반</t>
  </si>
  <si>
    <t>냉장고/동선</t>
  </si>
  <si>
    <t>Score</t>
  </si>
  <si>
    <t>MatchScore</t>
  </si>
  <si>
    <t>MatchScoreN</t>
  </si>
  <si>
    <t>음성 푸르지오</t>
  </si>
  <si>
    <t>O</t>
  </si>
  <si>
    <t>지정 모델</t>
  </si>
  <si>
    <t>공간/동선 최적화</t>
  </si>
  <si>
    <t>김해구산 푸르지오</t>
  </si>
  <si>
    <t>페블문</t>
  </si>
  <si>
    <t>다산 진건</t>
  </si>
  <si>
    <t>에코델타시티</t>
  </si>
  <si>
    <t>비아테라</t>
  </si>
  <si>
    <t>설비/빌트인 연계</t>
  </si>
  <si>
    <t>구미 푸르지오</t>
  </si>
  <si>
    <t>김해 2차</t>
  </si>
  <si>
    <t>아스펜글로우</t>
  </si>
  <si>
    <t>대구중앙로역</t>
  </si>
  <si>
    <t>상인 푸르지오</t>
  </si>
  <si>
    <t>서울벤처타운역</t>
  </si>
  <si>
    <t>수원고등A2BL</t>
  </si>
  <si>
    <t>수원 푸르지오</t>
  </si>
  <si>
    <t>일산 푸르지오</t>
  </si>
  <si>
    <t>천정/지장물 규칙</t>
  </si>
  <si>
    <t>과천 지식정보타운</t>
  </si>
  <si>
    <t>코너 기능형</t>
  </si>
  <si>
    <t>과천 어울림라비엔오</t>
  </si>
  <si>
    <t>900</t>
  </si>
  <si>
    <t>연희공원 라끌레르 1)</t>
  </si>
  <si>
    <t>시공규칙/지장물</t>
  </si>
  <si>
    <t>850</t>
  </si>
  <si>
    <t>연희공원 라끌레르 2)</t>
  </si>
  <si>
    <t>Rule ID</t>
  </si>
  <si>
    <t>구분</t>
  </si>
  <si>
    <t>조건 설명</t>
  </si>
  <si>
    <t>조건식(논리)</t>
  </si>
  <si>
    <t>처리 결과</t>
  </si>
  <si>
    <t>비고</t>
  </si>
  <si>
    <t>F-01</t>
  </si>
  <si>
    <t>사전차단</t>
  </si>
  <si>
    <t>공간 H 최소 기준 미달</t>
  </si>
  <si>
    <t>공간H &lt; 900</t>
  </si>
  <si>
    <t>설계 불가</t>
  </si>
  <si>
    <t>상부장/설비 설치 불가</t>
  </si>
  <si>
    <t>F-02</t>
  </si>
  <si>
    <t>분배기 C + ㄱ자 + W 부족</t>
  </si>
  <si>
    <t>분배기=C AND 형태=ㄱ자 AND 공간W&lt;3000</t>
  </si>
  <si>
    <t>코너 동선 불가</t>
  </si>
  <si>
    <t>F-03</t>
  </si>
  <si>
    <t>가스 고정 + 설비 간섭</t>
  </si>
  <si>
    <t>가스=R AND 전기=C AND 수도=C</t>
  </si>
  <si>
    <t>안전 기준(예시)</t>
  </si>
  <si>
    <t>F-04</t>
  </si>
  <si>
    <t>유지관리 동선 미확보</t>
  </si>
  <si>
    <t>유지관리 접근 불가</t>
  </si>
  <si>
    <t>운영 리스크(예시)</t>
  </si>
  <si>
    <t>V-01</t>
  </si>
  <si>
    <t>가변</t>
  </si>
  <si>
    <t>전기 위치 가변</t>
  </si>
  <si>
    <t>전기=L/R</t>
  </si>
  <si>
    <t>복수안 유지</t>
  </si>
  <si>
    <t>병렬 설계</t>
  </si>
  <si>
    <t>S-01</t>
  </si>
  <si>
    <t>고정</t>
  </si>
  <si>
    <t>가스 위치 고정</t>
  </si>
  <si>
    <t>가스=L or R</t>
  </si>
  <si>
    <t>화기 배치 고정</t>
  </si>
  <si>
    <t>안전 우선</t>
  </si>
  <si>
    <t>값</t>
  </si>
  <si>
    <t>도면 열기</t>
  </si>
  <si>
    <t>설계 가능 여부</t>
  </si>
  <si>
    <t>불가 사유(우선)</t>
  </si>
  <si>
    <t>불가 사유(전체)</t>
  </si>
  <si>
    <t>가변 조건 안내</t>
  </si>
  <si>
    <t>추천 TOP1 Key</t>
  </si>
  <si>
    <t>추천 TOP2 Key</t>
  </si>
  <si>
    <t>추천 TOP3 Key</t>
  </si>
  <si>
    <t>추천 출력 모드</t>
  </si>
  <si>
    <t>불가여도 대안 추천</t>
  </si>
  <si>
    <t>(DEBUG) Max MatchScore</t>
  </si>
  <si>
    <t>(DEBUG) Count MatchScore&gt;0</t>
  </si>
  <si>
    <t>DB Summary (July 2026)</t>
  </si>
  <si>
    <t>Counts by Facility(시설구분) and Shape(형태)</t>
  </si>
  <si>
    <t>Facility</t>
  </si>
  <si>
    <t>Boundary/Rule Coverage Check</t>
  </si>
  <si>
    <t>Metric</t>
  </si>
  <si>
    <t>Count</t>
  </si>
  <si>
    <t>H&lt;900 (Rule F-01 trigger candidates)</t>
  </si>
  <si>
    <t>W&lt;3000 and Dist=C and Shape=ㄱ자 (Rule F-02 candidates)</t>
  </si>
  <si>
    <t>Gas=R &amp; Elec=C &amp; Water=C (Rule F-03 candidates)</t>
  </si>
  <si>
    <t>ScenarioID</t>
  </si>
  <si>
    <t>Shape</t>
  </si>
  <si>
    <t>W</t>
  </si>
  <si>
    <t>D</t>
  </si>
  <si>
    <t>H</t>
  </si>
  <si>
    <t>Dist</t>
  </si>
  <si>
    <t>Water</t>
  </si>
  <si>
    <t>Gas</t>
  </si>
  <si>
    <t>Elec</t>
  </si>
  <si>
    <t>Feasible</t>
  </si>
  <si>
    <t>PrimaryReason</t>
  </si>
  <si>
    <t>Top1</t>
  </si>
  <si>
    <t>Top2</t>
  </si>
  <si>
    <t>Top3</t>
  </si>
  <si>
    <t>Note</t>
  </si>
  <si>
    <t>S1</t>
  </si>
  <si>
    <t>가능</t>
  </si>
  <si>
    <t>Top1~Top3는 시나리오 입력 후 OUTPUT에서 복사/값붙여넣기 방식으로 기록(순환참조 방지).</t>
  </si>
  <si>
    <t>S2</t>
  </si>
  <si>
    <t>불가</t>
  </si>
  <si>
    <t>F-01 공간H 미달(900 미만)</t>
  </si>
  <si>
    <t>S3</t>
  </si>
  <si>
    <t>F-02 분배기=C &amp; ㄱ자 &amp; W&lt;3000</t>
  </si>
  <si>
    <t>S4</t>
  </si>
  <si>
    <t>V-01 전기 위치 가변(복수안)</t>
  </si>
  <si>
    <t>S5</t>
  </si>
  <si>
    <t>F-03 가스·전기·수도 간섭 조합</t>
  </si>
  <si>
    <t>Capture Guide (for Research Note)</t>
  </si>
  <si>
    <t>1) INPUT capture range: INPUT!A1:B11 (입력값 표)</t>
  </si>
  <si>
    <t>2) OUTPUT capture range: OUTPUT!A1:B12 (판단/추천 결과)</t>
  </si>
  <si>
    <t>3) DB Score capture range: DB!A1:X43 (DB+Score+MatchScore)</t>
  </si>
  <si>
    <t>4) Rule table capture range: RULE!A1:C20 (Rule 정의)</t>
  </si>
  <si>
    <t>5) July test result table: TEST_RESULTS_202607!A1:O10 (시나리오별 결과)</t>
  </si>
  <si>
    <t>8월 분석(DB 분포·Rule 커버리지·로그 지표)</t>
  </si>
  <si>
    <t>1) 시설구분×형태 분포(현재 DB 기준)</t>
  </si>
  <si>
    <t>시설구분/형태</t>
  </si>
  <si>
    <t>2) Rule 후보 커버리지(현재 DB 내 후보 건수)</t>
  </si>
  <si>
    <t>Rule</t>
  </si>
  <si>
    <t>조건식</t>
  </si>
  <si>
    <t>후보 건수</t>
  </si>
  <si>
    <t>공간H&lt;900</t>
  </si>
  <si>
    <t>8월 입력 로그(반복 입력·추천 결과 기록용)</t>
  </si>
  <si>
    <t>※ 사용법: (1) INPUT에 값 입력 → (2) OUTPUT 결과 확인 → (3) 아래 로그에 값 붙여넣기(값)로 기록함. (순환참조 방지)</t>
  </si>
  <si>
    <t>LogID</t>
  </si>
  <si>
    <t>Date</t>
  </si>
  <si>
    <t>공간W</t>
  </si>
  <si>
    <t>공간D</t>
  </si>
  <si>
    <t>공간H</t>
  </si>
  <si>
    <t>수도</t>
  </si>
  <si>
    <t>가스</t>
  </si>
  <si>
    <t>전기</t>
  </si>
  <si>
    <t>설계가능</t>
  </si>
  <si>
    <t>불가사유(우선)</t>
  </si>
  <si>
    <t>가변안내</t>
  </si>
  <si>
    <t>Top1 Key</t>
  </si>
  <si>
    <t>Top2 Key</t>
  </si>
  <si>
    <t>Top3 Key</t>
  </si>
  <si>
    <t>GroupKey</t>
  </si>
  <si>
    <t>8월 추천 신뢰도 지표(로그 기반)</t>
  </si>
  <si>
    <t>1) Top1 유지율(동일 입력군별)</t>
  </si>
  <si>
    <t>2) Rule 일관성(가능/불가/가변 재현율)</t>
  </si>
  <si>
    <t>입력군 Key(시설+형태+W+D+H+설비)</t>
  </si>
  <si>
    <t>총 로그수</t>
  </si>
  <si>
    <t>Top1 최빈값 빈도</t>
  </si>
  <si>
    <t>Top1 유지율</t>
  </si>
  <si>
    <t>정의</t>
  </si>
  <si>
    <t>계산(로그)</t>
  </si>
  <si>
    <t>가능 비율</t>
  </si>
  <si>
    <t>설계가능=가능 / 전체</t>
  </si>
  <si>
    <t>불가 비율</t>
  </si>
  <si>
    <t>설계가능=불가 / 전체</t>
  </si>
  <si>
    <t>가변 발생 비율</t>
  </si>
  <si>
    <t>가변안내&lt;&gt;공란 / 전체</t>
  </si>
  <si>
    <t>시설구분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</si>
</sst>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7" borderId="1" xfId="0" applyFont="1" applyFill="1" applyBorder="1" applyAlignment="1">
      <alignment horizontal="center" vertical="top"/>
    </xf>
    <xf numFmtId="0" fontId="0" fillId="6" borderId="1" xfId="0" applyFill="1" applyBorder="1"/>
    <xf numFmtId="0" fontId="4" fillId="0" borderId="1" xfId="1" applyBorder="1"/>
    <xf numFmtId="0" fontId="0" fillId="7" borderId="1" xfId="0" applyFill="1" applyBorder="1"/>
    <xf numFmtId="0" fontId="7" fillId="0" borderId="0" xfId="0" applyFont="1"/>
    <xf numFmtId="0" fontId="7" fillId="8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8" borderId="3" xfId="0" applyFont="1" applyFill="1" applyBorder="1" applyAlignment="1">
      <alignment horizontal="center" wrapText="1"/>
    </xf>
    <xf numFmtId="0" fontId="0" fillId="0" borderId="3" xfId="0" applyBorder="1"/>
    <xf numFmtId="1" fontId="0" fillId="0" borderId="3" xfId="0" applyNumberFormat="1" applyBorder="1"/>
    <xf numFmtId="0" fontId="0" fillId="0" borderId="3" xfId="0" applyBorder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"/>
  <sheetViews>
    <sheetView workbookViewId="0">
      <selection activeCell="B4" sqref="B4:B6"/>
    </sheetView>
  </sheetViews>
  <sheetFormatPr defaultRowHeight="17" x14ac:dyDescent="0.45"/>
  <cols>
    <col min="1" max="2" width="18" customWidth="1"/>
    <col min="3" max="3" width="8.6640625" style="11" customWidth="1"/>
    <col min="10" max="10" width="10.4140625" bestFit="1" customWidth="1"/>
    <col min="11" max="11" width="4.83203125" bestFit="1" customWidth="1"/>
    <col min="12" max="12" width="2.33203125" bestFit="1" customWidth="1"/>
    <col min="13" max="13" width="3.9140625" bestFit="1" customWidth="1"/>
  </cols>
  <sheetData>
    <row r="1" spans="1:13" x14ac:dyDescent="0.45">
      <c r="A1" s="1" t="s">
        <v>0</v>
      </c>
      <c r="B1" s="1" t="s">
        <v>1</v>
      </c>
      <c r="J1" t="s">
        <v>2</v>
      </c>
    </row>
    <row r="2" spans="1:13" x14ac:dyDescent="0.45">
      <c r="A2" s="7" t="s">
        <v>3</v>
      </c>
      <c r="B2" s="8" t="s">
        <v>4</v>
      </c>
      <c r="C2" s="12" t="s">
        <v>5</v>
      </c>
      <c r="D2" s="6"/>
      <c r="E2" s="6"/>
    </row>
    <row r="3" spans="1:13" x14ac:dyDescent="0.45">
      <c r="A3" s="7" t="s">
        <v>6</v>
      </c>
      <c r="B3" s="8" t="s">
        <v>7</v>
      </c>
      <c r="C3" s="12" t="s">
        <v>5</v>
      </c>
      <c r="D3" s="6"/>
      <c r="E3" s="6"/>
      <c r="J3" s="10" t="s">
        <v>4</v>
      </c>
      <c r="K3" s="10" t="s">
        <v>7</v>
      </c>
      <c r="L3" s="10" t="s">
        <v>8</v>
      </c>
      <c r="M3" s="10" t="s">
        <v>8</v>
      </c>
    </row>
    <row r="4" spans="1:13" x14ac:dyDescent="0.45">
      <c r="A4" s="7" t="s">
        <v>9</v>
      </c>
      <c r="B4" s="9">
        <v>3000</v>
      </c>
      <c r="C4" s="12" t="s">
        <v>10</v>
      </c>
      <c r="D4" s="6"/>
      <c r="E4" s="6"/>
      <c r="J4" s="10" t="s">
        <v>11</v>
      </c>
      <c r="K4" s="10" t="s">
        <v>12</v>
      </c>
      <c r="L4" s="10" t="s">
        <v>13</v>
      </c>
      <c r="M4" s="10" t="s">
        <v>13</v>
      </c>
    </row>
    <row r="5" spans="1:13" x14ac:dyDescent="0.45">
      <c r="A5" s="7" t="s">
        <v>14</v>
      </c>
      <c r="B5" s="9">
        <v>690</v>
      </c>
      <c r="C5" s="12" t="s">
        <v>10</v>
      </c>
      <c r="D5" s="6"/>
      <c r="E5" s="6"/>
      <c r="J5" s="10" t="s">
        <v>15</v>
      </c>
      <c r="K5" s="10" t="s">
        <v>16</v>
      </c>
      <c r="L5" s="10" t="s">
        <v>17</v>
      </c>
      <c r="M5" s="10" t="s">
        <v>17</v>
      </c>
    </row>
    <row r="6" spans="1:13" x14ac:dyDescent="0.45">
      <c r="A6" s="7" t="s">
        <v>18</v>
      </c>
      <c r="B6" s="9">
        <v>800</v>
      </c>
      <c r="C6" s="12" t="s">
        <v>10</v>
      </c>
      <c r="D6" s="6"/>
      <c r="E6" s="6"/>
      <c r="J6" s="10" t="s">
        <v>19</v>
      </c>
      <c r="K6" s="10"/>
      <c r="L6" s="10" t="s">
        <v>20</v>
      </c>
      <c r="M6" s="10" t="s">
        <v>21</v>
      </c>
    </row>
    <row r="7" spans="1:13" x14ac:dyDescent="0.45">
      <c r="A7" s="7" t="s">
        <v>22</v>
      </c>
      <c r="B7" s="8" t="s">
        <v>8</v>
      </c>
      <c r="C7" s="12" t="s">
        <v>5</v>
      </c>
      <c r="D7" s="6"/>
      <c r="E7" s="6"/>
      <c r="F7" s="6"/>
      <c r="G7" s="6"/>
      <c r="H7" s="6"/>
      <c r="I7" s="6"/>
      <c r="J7" s="10" t="s">
        <v>23</v>
      </c>
      <c r="K7" s="10"/>
      <c r="L7" s="10"/>
      <c r="M7" s="10" t="s">
        <v>20</v>
      </c>
    </row>
    <row r="8" spans="1:13" x14ac:dyDescent="0.45">
      <c r="A8" s="7" t="s">
        <v>24</v>
      </c>
      <c r="B8" s="8" t="s">
        <v>8</v>
      </c>
      <c r="C8" s="12" t="s">
        <v>5</v>
      </c>
      <c r="D8" s="6"/>
      <c r="E8" s="6"/>
      <c r="F8" s="6"/>
      <c r="G8" s="6"/>
      <c r="H8" s="6"/>
      <c r="I8" s="6"/>
    </row>
    <row r="9" spans="1:13" x14ac:dyDescent="0.45">
      <c r="A9" s="7" t="s">
        <v>25</v>
      </c>
      <c r="B9" s="8" t="s">
        <v>8</v>
      </c>
      <c r="C9" s="12" t="s">
        <v>5</v>
      </c>
      <c r="D9" s="6"/>
      <c r="E9" s="6"/>
      <c r="F9" s="6"/>
      <c r="G9" s="6"/>
      <c r="H9" s="6"/>
      <c r="I9" s="6"/>
    </row>
    <row r="10" spans="1:13" x14ac:dyDescent="0.45">
      <c r="A10" s="7" t="s">
        <v>26</v>
      </c>
      <c r="B10" s="8" t="s">
        <v>21</v>
      </c>
      <c r="C10" s="12" t="s">
        <v>5</v>
      </c>
      <c r="D10" s="6"/>
      <c r="E10" s="6"/>
      <c r="F10" s="6"/>
      <c r="G10" s="6"/>
      <c r="H10" s="6"/>
      <c r="I10" s="6"/>
    </row>
  </sheetData>
  <phoneticPr fontId="3" type="noConversion"/>
  <dataValidations count="4">
    <dataValidation type="list" allowBlank="1" showInputMessage="1" showErrorMessage="1" sqref="B10">
      <formula1>$M$3:$M$6</formula1>
    </dataValidation>
    <dataValidation type="list" allowBlank="1" showInputMessage="1" showErrorMessage="1" sqref="B7:B9">
      <formula1>$L$3:$L$5</formula1>
    </dataValidation>
    <dataValidation type="list" allowBlank="1" showInputMessage="1" showErrorMessage="1" sqref="B3">
      <formula1>$K$3:$K$4</formula1>
    </dataValidation>
    <dataValidation type="list" allowBlank="1" showInputMessage="1" showErrorMessage="1" sqref="B2">
      <formula1>$J$3:$J$6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C3" sqref="C3"/>
    </sheetView>
  </sheetViews>
  <sheetFormatPr defaultRowHeight="17" x14ac:dyDescent="0.45"/>
  <cols>
    <col min="1" max="22" width="18" customWidth="1"/>
    <col min="23" max="23" width="14" customWidth="1"/>
    <col min="24" max="24" width="17.08203125" customWidth="1"/>
  </cols>
  <sheetData>
    <row r="1" spans="1:24" ht="35" customHeight="1" x14ac:dyDescent="0.45">
      <c r="A1" s="3" t="s">
        <v>27</v>
      </c>
      <c r="B1" s="2" t="s">
        <v>205</v>
      </c>
      <c r="C1" s="2" t="s">
        <v>6</v>
      </c>
      <c r="D1" s="2" t="s">
        <v>28</v>
      </c>
      <c r="E1" s="2" t="s">
        <v>29</v>
      </c>
      <c r="F1" s="2" t="s">
        <v>30</v>
      </c>
      <c r="G1" s="2" t="s">
        <v>22</v>
      </c>
      <c r="H1" s="2" t="s">
        <v>24</v>
      </c>
      <c r="I1" s="2" t="s">
        <v>31</v>
      </c>
      <c r="J1" s="2" t="s">
        <v>26</v>
      </c>
      <c r="K1" s="2" t="s">
        <v>32</v>
      </c>
      <c r="L1" s="2" t="s">
        <v>33</v>
      </c>
      <c r="M1" s="2" t="s">
        <v>34</v>
      </c>
      <c r="N1" s="2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</row>
    <row r="2" spans="1:24" ht="70" customHeight="1" x14ac:dyDescent="0.45">
      <c r="A2" s="5" t="str">
        <f t="shared" ref="A2:A43" si="0">B2&amp;"_"&amp;N2&amp;"_"&amp;C2&amp;D2&amp;E2&amp;F2&amp;G2&amp;H2&amp;I2&amp;J2&amp;K2&amp;L2&amp;M2</f>
        <v>돌봄센터_음성 푸르지오_일자328034952700CCRC900700320</v>
      </c>
      <c r="B2" s="5" t="s">
        <v>4</v>
      </c>
      <c r="C2" s="5" t="s">
        <v>7</v>
      </c>
      <c r="D2" s="5">
        <v>3280</v>
      </c>
      <c r="E2" s="5">
        <v>3495</v>
      </c>
      <c r="F2" s="5">
        <v>2700</v>
      </c>
      <c r="G2" s="5" t="s">
        <v>8</v>
      </c>
      <c r="H2" s="5" t="s">
        <v>8</v>
      </c>
      <c r="I2" s="5" t="s">
        <v>17</v>
      </c>
      <c r="J2" s="5" t="s">
        <v>8</v>
      </c>
      <c r="K2" s="5">
        <v>900</v>
      </c>
      <c r="L2" s="5">
        <v>700</v>
      </c>
      <c r="M2" s="5">
        <v>320</v>
      </c>
      <c r="N2" s="5" t="s">
        <v>46</v>
      </c>
      <c r="O2" s="5" t="s">
        <v>47</v>
      </c>
      <c r="P2" s="5" t="s">
        <v>48</v>
      </c>
      <c r="Q2" s="5" t="s">
        <v>47</v>
      </c>
      <c r="R2" s="5" t="s">
        <v>47</v>
      </c>
      <c r="S2" s="5" t="s">
        <v>47</v>
      </c>
      <c r="T2" s="5" t="s">
        <v>20</v>
      </c>
      <c r="U2" s="5" t="s">
        <v>49</v>
      </c>
      <c r="V2" s="14">
        <f>IF(OR(INPUT!$B$2="",INPUT!$B$3="",INPUT!$B$4="",INPUT!$B$5="",INPUT!$B$6=""),"",(30*IF(TRIM(INPUT!$B$2)=TRIM(B2),1,0)+20*IF(TRIM(INPUT!$B$3)=TRIM(C2),1,0)+25*MAX(0,1-((ABS(IFERROR(VALUE(TRIM(D2)),0)-IFERROR(VALUE(TRIM(INPUT!$B$4)),0))/MAX(1,IFERROR(VALUE(TRIM(INPUT!$B$4)),0))+ABS(IFERROR(VALUE(TRIM(E2)),0)-IFERROR(VALUE(TRIM(INPUT!$B$5)),0))/MAX(1,IFERROR(VALUE(TRIM(INPUT!$B$5)),0))+ABS(IFERROR(VALUE(TRIM(F2)),0)-IFERROR(VALUE(TRIM(INPUT!$B$6)),0))/MAX(1,IFERROR(VALUE(TRIM(INPUT!$B$6)),0)))/3))+25*((IF(TRIM(INPUT!$B$7)=TRIM(G2),1,0)+IF(TRIM(INPUT!$B$8)=TRIM(H2),1,0)+IF(TRIM(INPUT!$B$9)=TRIM(I2),1,0)+IF(OR(TRIM(INPUT!$B$10)=TRIM(J2),AND(TRIM(INPUT!$B$10)="L/R",OR(TRIM(J2)="L",TRIM(J2)="R",TRIM(J2)="L/R"))),1,0))/4)))</f>
        <v>62.5</v>
      </c>
      <c r="W2" s="14">
        <f>IF(V2="","",IF(AND(TRIM(B2)=TRIM(INPUT!$B$2),TRIM(C2)=TRIM(INPUT!$B$3)),V2,V2*0.4))</f>
        <v>62.5</v>
      </c>
      <c r="X2" s="14">
        <f t="shared" ref="X2:X43" si="1">IFERROR(W2*1,0)</f>
        <v>62.5</v>
      </c>
    </row>
    <row r="3" spans="1:24" ht="70" customHeight="1" x14ac:dyDescent="0.45">
      <c r="A3" s="5" t="str">
        <f t="shared" si="0"/>
        <v>돌봄센터_김해구산 푸르지오_일자2745600690XCXC900610320</v>
      </c>
      <c r="B3" s="5" t="s">
        <v>4</v>
      </c>
      <c r="C3" s="5" t="s">
        <v>7</v>
      </c>
      <c r="D3" s="5">
        <v>2745</v>
      </c>
      <c r="E3" s="5">
        <v>600</v>
      </c>
      <c r="F3" s="5">
        <v>690</v>
      </c>
      <c r="G3" s="5" t="s">
        <v>20</v>
      </c>
      <c r="H3" s="5" t="s">
        <v>8</v>
      </c>
      <c r="I3" s="5" t="s">
        <v>20</v>
      </c>
      <c r="J3" s="5" t="s">
        <v>8</v>
      </c>
      <c r="K3" s="5">
        <v>900</v>
      </c>
      <c r="L3" s="5">
        <v>610</v>
      </c>
      <c r="M3" s="5">
        <v>320</v>
      </c>
      <c r="N3" s="5" t="s">
        <v>50</v>
      </c>
      <c r="O3" s="5" t="s">
        <v>47</v>
      </c>
      <c r="P3" s="5" t="s">
        <v>51</v>
      </c>
      <c r="Q3" s="5" t="s">
        <v>20</v>
      </c>
      <c r="R3" s="5" t="s">
        <v>20</v>
      </c>
      <c r="S3" s="5" t="s">
        <v>20</v>
      </c>
      <c r="T3" s="5" t="s">
        <v>47</v>
      </c>
      <c r="U3" s="5" t="s">
        <v>49</v>
      </c>
      <c r="V3" s="14">
        <f>IF(OR(INPUT!$B$2="",INPUT!$B$3="",INPUT!$B$4="",INPUT!$B$5="",INPUT!$B$6=""),"",(30*IF(TRIM(INPUT!$B$2)=TRIM(B3),1,0)+20*IF(TRIM(INPUT!$B$3)=TRIM(C3),1,0)+25*MAX(0,1-((ABS(IFERROR(VALUE(TRIM(D3)),0)-IFERROR(VALUE(TRIM(INPUT!$B$4)),0))/MAX(1,IFERROR(VALUE(TRIM(INPUT!$B$4)),0))+ABS(IFERROR(VALUE(TRIM(E3)),0)-IFERROR(VALUE(TRIM(INPUT!$B$5)),0))/MAX(1,IFERROR(VALUE(TRIM(INPUT!$B$5)),0))+ABS(IFERROR(VALUE(TRIM(F3)),0)-IFERROR(VALUE(TRIM(INPUT!$B$6)),0))/MAX(1,IFERROR(VALUE(TRIM(INPUT!$B$6)),0)))/3))+25*((IF(TRIM(INPUT!$B$7)=TRIM(G3),1,0)+IF(TRIM(INPUT!$B$8)=TRIM(H3),1,0)+IF(TRIM(INPUT!$B$9)=TRIM(I3),1,0)+IF(OR(TRIM(INPUT!$B$10)=TRIM(J3),AND(TRIM(INPUT!$B$10)="L/R",OR(TRIM(J3)="L",TRIM(J3)="R",TRIM(J3)="L/R"))),1,0))/4)))</f>
        <v>78.308876811594203</v>
      </c>
      <c r="W3" s="14">
        <f>IF(V3="","",IF(AND(TRIM(B3)=TRIM(INPUT!$B$2),TRIM(C3)=TRIM(INPUT!$B$3)),V3,V3*0.4))</f>
        <v>78.308876811594203</v>
      </c>
      <c r="X3" s="14">
        <f t="shared" si="1"/>
        <v>78.308876811594203</v>
      </c>
    </row>
    <row r="4" spans="1:24" ht="70" customHeight="1" x14ac:dyDescent="0.45">
      <c r="A4" s="5" t="str">
        <f t="shared" si="0"/>
        <v>돌봄센터_다산 진건_일자32106902420CCXC900600320</v>
      </c>
      <c r="B4" s="5" t="s">
        <v>4</v>
      </c>
      <c r="C4" s="5" t="s">
        <v>7</v>
      </c>
      <c r="D4" s="5">
        <v>3210</v>
      </c>
      <c r="E4" s="5">
        <v>690</v>
      </c>
      <c r="F4" s="5">
        <v>2420</v>
      </c>
      <c r="G4" s="5" t="s">
        <v>8</v>
      </c>
      <c r="H4" s="5" t="s">
        <v>8</v>
      </c>
      <c r="I4" s="5" t="s">
        <v>20</v>
      </c>
      <c r="J4" s="5" t="s">
        <v>8</v>
      </c>
      <c r="K4" s="5">
        <v>900</v>
      </c>
      <c r="L4" s="5">
        <v>600</v>
      </c>
      <c r="M4" s="5">
        <v>320</v>
      </c>
      <c r="N4" s="5" t="s">
        <v>52</v>
      </c>
      <c r="O4" s="5" t="s">
        <v>47</v>
      </c>
      <c r="P4" s="5" t="s">
        <v>48</v>
      </c>
      <c r="Q4" s="5" t="s">
        <v>47</v>
      </c>
      <c r="R4" s="5" t="s">
        <v>20</v>
      </c>
      <c r="S4" s="5" t="s">
        <v>20</v>
      </c>
      <c r="T4" s="5" t="s">
        <v>20</v>
      </c>
      <c r="U4" s="5" t="s">
        <v>49</v>
      </c>
      <c r="V4" s="14">
        <f>IF(OR(INPUT!$B$2="",INPUT!$B$3="",INPUT!$B$4="",INPUT!$B$5="",INPUT!$B$6=""),"",(30*IF(TRIM(INPUT!$B$2)=TRIM(B4),1,0)+20*IF(TRIM(INPUT!$B$3)=TRIM(C4),1,0)+25*MAX(0,1-((ABS(IFERROR(VALUE(TRIM(D4)),0)-IFERROR(VALUE(TRIM(INPUT!$B$4)),0))/MAX(1,IFERROR(VALUE(TRIM(INPUT!$B$4)),0))+ABS(IFERROR(VALUE(TRIM(E4)),0)-IFERROR(VALUE(TRIM(INPUT!$B$5)),0))/MAX(1,IFERROR(VALUE(TRIM(INPUT!$B$5)),0))+ABS(IFERROR(VALUE(TRIM(F4)),0)-IFERROR(VALUE(TRIM(INPUT!$B$6)),0))/MAX(1,IFERROR(VALUE(TRIM(INPUT!$B$6)),0)))/3))+25*((IF(TRIM(INPUT!$B$7)=TRIM(G4),1,0)+IF(TRIM(INPUT!$B$8)=TRIM(H4),1,0)+IF(TRIM(INPUT!$B$9)=TRIM(I4),1,0)+IF(OR(TRIM(INPUT!$B$10)=TRIM(J4),AND(TRIM(INPUT!$B$10)="L/R",OR(TRIM(J4)="L",TRIM(J4)="R",TRIM(J4)="L/R"))),1,0))/4)))</f>
        <v>70.041666666666671</v>
      </c>
      <c r="W4" s="14">
        <f>IF(V4="","",IF(AND(TRIM(B4)=TRIM(INPUT!$B$2),TRIM(C4)=TRIM(INPUT!$B$3)),V4,V4*0.4))</f>
        <v>70.041666666666671</v>
      </c>
      <c r="X4" s="14">
        <f t="shared" si="1"/>
        <v>70.041666666666671</v>
      </c>
    </row>
    <row r="5" spans="1:24" ht="70" customHeight="1" x14ac:dyDescent="0.45">
      <c r="A5" s="5" t="str">
        <f t="shared" si="0"/>
        <v>돌봄센터_에코델타시티_일자30056002420CCRC900600320</v>
      </c>
      <c r="B5" s="5" t="s">
        <v>4</v>
      </c>
      <c r="C5" s="5" t="s">
        <v>7</v>
      </c>
      <c r="D5" s="5">
        <v>3005</v>
      </c>
      <c r="E5" s="5">
        <v>600</v>
      </c>
      <c r="F5" s="5">
        <v>2420</v>
      </c>
      <c r="G5" s="5" t="s">
        <v>8</v>
      </c>
      <c r="H5" s="5" t="s">
        <v>8</v>
      </c>
      <c r="I5" s="5" t="s">
        <v>17</v>
      </c>
      <c r="J5" s="5" t="s">
        <v>8</v>
      </c>
      <c r="K5" s="5">
        <v>900</v>
      </c>
      <c r="L5" s="5">
        <v>600</v>
      </c>
      <c r="M5" s="5">
        <v>320</v>
      </c>
      <c r="N5" s="5" t="s">
        <v>53</v>
      </c>
      <c r="O5" s="5" t="s">
        <v>47</v>
      </c>
      <c r="P5" s="5" t="s">
        <v>54</v>
      </c>
      <c r="Q5" s="5" t="s">
        <v>47</v>
      </c>
      <c r="R5" s="5" t="s">
        <v>20</v>
      </c>
      <c r="S5" s="5" t="s">
        <v>47</v>
      </c>
      <c r="T5" s="5" t="s">
        <v>20</v>
      </c>
      <c r="U5" s="5" t="s">
        <v>49</v>
      </c>
      <c r="V5" s="14">
        <f>IF(OR(INPUT!$B$2="",INPUT!$B$3="",INPUT!$B$4="",INPUT!$B$5="",INPUT!$B$6=""),"",(30*IF(TRIM(INPUT!$B$2)=TRIM(B5),1,0)+20*IF(TRIM(INPUT!$B$3)=TRIM(C5),1,0)+25*MAX(0,1-((ABS(IFERROR(VALUE(TRIM(D5)),0)-IFERROR(VALUE(TRIM(INPUT!$B$4)),0))/MAX(1,IFERROR(VALUE(TRIM(INPUT!$B$4)),0))+ABS(IFERROR(VALUE(TRIM(E5)),0)-IFERROR(VALUE(TRIM(INPUT!$B$5)),0))/MAX(1,IFERROR(VALUE(TRIM(INPUT!$B$5)),0))+ABS(IFERROR(VALUE(TRIM(F5)),0)-IFERROR(VALUE(TRIM(INPUT!$B$6)),0))/MAX(1,IFERROR(VALUE(TRIM(INPUT!$B$6)),0)))/3))+25*((IF(TRIM(INPUT!$B$7)=TRIM(G5),1,0)+IF(TRIM(INPUT!$B$8)=TRIM(H5),1,0)+IF(TRIM(INPUT!$B$9)=TRIM(I5),1,0)+IF(OR(TRIM(INPUT!$B$10)=TRIM(J5),AND(TRIM(INPUT!$B$10)="L/R",OR(TRIM(J5)="L",TRIM(J5)="R",TRIM(J5)="L/R"))),1,0))/4)))</f>
        <v>69.524154589371989</v>
      </c>
      <c r="W5" s="14">
        <f>IF(V5="","",IF(AND(TRIM(B5)=TRIM(INPUT!$B$2),TRIM(C5)=TRIM(INPUT!$B$3)),V5,V5*0.4))</f>
        <v>69.524154589371989</v>
      </c>
      <c r="X5" s="14">
        <f t="shared" si="1"/>
        <v>69.524154589371989</v>
      </c>
    </row>
    <row r="6" spans="1:24" ht="70" customHeight="1" x14ac:dyDescent="0.45">
      <c r="A6" s="5" t="str">
        <f t="shared" si="0"/>
        <v>돌봄센터_음성 푸르지오_일자30407102700CCXC1050710320</v>
      </c>
      <c r="B6" s="5" t="s">
        <v>4</v>
      </c>
      <c r="C6" s="5" t="s">
        <v>7</v>
      </c>
      <c r="D6" s="5">
        <v>3040</v>
      </c>
      <c r="E6" s="5">
        <v>710</v>
      </c>
      <c r="F6" s="5">
        <v>2700</v>
      </c>
      <c r="G6" s="5" t="s">
        <v>8</v>
      </c>
      <c r="H6" s="5" t="s">
        <v>8</v>
      </c>
      <c r="I6" s="5" t="s">
        <v>20</v>
      </c>
      <c r="J6" s="5" t="s">
        <v>8</v>
      </c>
      <c r="K6" s="5">
        <v>1050</v>
      </c>
      <c r="L6" s="5">
        <v>710</v>
      </c>
      <c r="M6" s="5">
        <v>320</v>
      </c>
      <c r="N6" s="5" t="s">
        <v>46</v>
      </c>
      <c r="O6" s="5" t="s">
        <v>47</v>
      </c>
      <c r="P6" s="5" t="s">
        <v>48</v>
      </c>
      <c r="Q6" s="5" t="s">
        <v>47</v>
      </c>
      <c r="R6" s="5" t="s">
        <v>47</v>
      </c>
      <c r="S6" s="5" t="s">
        <v>20</v>
      </c>
      <c r="T6" s="5" t="s">
        <v>20</v>
      </c>
      <c r="U6" s="5" t="s">
        <v>55</v>
      </c>
      <c r="V6" s="14">
        <f>IF(OR(INPUT!$B$2="",INPUT!$B$3="",INPUT!$B$4="",INPUT!$B$5="",INPUT!$B$6=""),"",(30*IF(TRIM(INPUT!$B$2)=TRIM(B6),1,0)+20*IF(TRIM(INPUT!$B$3)=TRIM(C6),1,0)+25*MAX(0,1-((ABS(IFERROR(VALUE(TRIM(D6)),0)-IFERROR(VALUE(TRIM(INPUT!$B$4)),0))/MAX(1,IFERROR(VALUE(TRIM(INPUT!$B$4)),0))+ABS(IFERROR(VALUE(TRIM(E6)),0)-IFERROR(VALUE(TRIM(INPUT!$B$5)),0))/MAX(1,IFERROR(VALUE(TRIM(INPUT!$B$5)),0))+ABS(IFERROR(VALUE(TRIM(F6)),0)-IFERROR(VALUE(TRIM(INPUT!$B$6)),0))/MAX(1,IFERROR(VALUE(TRIM(INPUT!$B$6)),0)))/3))+25*((IF(TRIM(INPUT!$B$7)=TRIM(G6),1,0)+IF(TRIM(INPUT!$B$8)=TRIM(H6),1,0)+IF(TRIM(INPUT!$B$9)=TRIM(I6),1,0)+IF(OR(TRIM(INPUT!$B$10)=TRIM(J6),AND(TRIM(INPUT!$B$10)="L/R",OR(TRIM(J6)="L",TRIM(J6)="R",TRIM(J6)="L/R"))),1,0))/4)))</f>
        <v>67.355676328502412</v>
      </c>
      <c r="W6" s="14">
        <f>IF(V6="","",IF(AND(TRIM(B6)=TRIM(INPUT!$B$2),TRIM(C6)=TRIM(INPUT!$B$3)),V6,V6*0.4))</f>
        <v>67.355676328502412</v>
      </c>
      <c r="X6" s="14">
        <f t="shared" si="1"/>
        <v>67.355676328502412</v>
      </c>
    </row>
    <row r="7" spans="1:24" ht="70" customHeight="1" x14ac:dyDescent="0.45">
      <c r="A7" s="5" t="str">
        <f t="shared" si="0"/>
        <v>시니어클럽_구미 푸르지오_ㄷ자350026702720CCRR1060700320</v>
      </c>
      <c r="B7" s="5" t="s">
        <v>11</v>
      </c>
      <c r="C7" s="5" t="s">
        <v>16</v>
      </c>
      <c r="D7" s="5">
        <v>3500</v>
      </c>
      <c r="E7" s="5">
        <v>2670</v>
      </c>
      <c r="F7" s="5">
        <v>2720</v>
      </c>
      <c r="G7" s="5" t="s">
        <v>8</v>
      </c>
      <c r="H7" s="5" t="s">
        <v>8</v>
      </c>
      <c r="I7" s="5" t="s">
        <v>17</v>
      </c>
      <c r="J7" s="5" t="s">
        <v>17</v>
      </c>
      <c r="K7" s="5">
        <v>1060</v>
      </c>
      <c r="L7" s="5">
        <v>700</v>
      </c>
      <c r="M7" s="5">
        <v>320</v>
      </c>
      <c r="N7" s="5" t="s">
        <v>56</v>
      </c>
      <c r="O7" s="5" t="s">
        <v>47</v>
      </c>
      <c r="P7" s="5" t="s">
        <v>48</v>
      </c>
      <c r="Q7" s="5" t="s">
        <v>47</v>
      </c>
      <c r="R7" s="5" t="s">
        <v>47</v>
      </c>
      <c r="S7" s="5" t="s">
        <v>47</v>
      </c>
      <c r="T7" s="5" t="s">
        <v>20</v>
      </c>
      <c r="U7" s="5" t="s">
        <v>49</v>
      </c>
      <c r="V7" s="14">
        <f>IF(OR(INPUT!$B$2="",INPUT!$B$3="",INPUT!$B$4="",INPUT!$B$5="",INPUT!$B$6=""),"",(30*IF(TRIM(INPUT!$B$2)=TRIM(B7),1,0)+20*IF(TRIM(INPUT!$B$3)=TRIM(C7),1,0)+25*MAX(0,1-((ABS(IFERROR(VALUE(TRIM(D7)),0)-IFERROR(VALUE(TRIM(INPUT!$B$4)),0))/MAX(1,IFERROR(VALUE(TRIM(INPUT!$B$4)),0))+ABS(IFERROR(VALUE(TRIM(E7)),0)-IFERROR(VALUE(TRIM(INPUT!$B$5)),0))/MAX(1,IFERROR(VALUE(TRIM(INPUT!$B$5)),0))+ABS(IFERROR(VALUE(TRIM(F7)),0)-IFERROR(VALUE(TRIM(INPUT!$B$6)),0))/MAX(1,IFERROR(VALUE(TRIM(INPUT!$B$6)),0)))/3))+25*((IF(TRIM(INPUT!$B$7)=TRIM(G7),1,0)+IF(TRIM(INPUT!$B$8)=TRIM(H7),1,0)+IF(TRIM(INPUT!$B$9)=TRIM(I7),1,0)+IF(OR(TRIM(INPUT!$B$10)=TRIM(J7),AND(TRIM(INPUT!$B$10)="L/R",OR(TRIM(J7)="L",TRIM(J7)="R",TRIM(J7)="L/R"))),1,0))/4)))</f>
        <v>18.75</v>
      </c>
      <c r="W7" s="14">
        <f>IF(V7="","",IF(AND(TRIM(B7)=TRIM(INPUT!$B$2),TRIM(C7)=TRIM(INPUT!$B$3)),V7,V7*0.4))</f>
        <v>7.5</v>
      </c>
      <c r="X7" s="14">
        <f t="shared" si="1"/>
        <v>7.5</v>
      </c>
    </row>
    <row r="8" spans="1:24" ht="70" customHeight="1" x14ac:dyDescent="0.45">
      <c r="A8" s="5" t="str">
        <f t="shared" si="0"/>
        <v>시니어클럽_김해 2차_일자320024002350CCRR1000700320</v>
      </c>
      <c r="B8" s="5" t="s">
        <v>11</v>
      </c>
      <c r="C8" s="5" t="s">
        <v>7</v>
      </c>
      <c r="D8" s="5">
        <v>3200</v>
      </c>
      <c r="E8" s="5">
        <v>2400</v>
      </c>
      <c r="F8" s="5">
        <v>2350</v>
      </c>
      <c r="G8" s="5" t="s">
        <v>8</v>
      </c>
      <c r="H8" s="5" t="s">
        <v>8</v>
      </c>
      <c r="I8" s="5" t="s">
        <v>17</v>
      </c>
      <c r="J8" s="5" t="s">
        <v>17</v>
      </c>
      <c r="K8" s="5">
        <v>1000</v>
      </c>
      <c r="L8" s="5">
        <v>700</v>
      </c>
      <c r="M8" s="5">
        <v>320</v>
      </c>
      <c r="N8" s="5" t="s">
        <v>57</v>
      </c>
      <c r="O8" s="5" t="s">
        <v>47</v>
      </c>
      <c r="P8" s="5" t="s">
        <v>58</v>
      </c>
      <c r="Q8" s="5" t="s">
        <v>47</v>
      </c>
      <c r="R8" s="5" t="s">
        <v>47</v>
      </c>
      <c r="S8" s="5" t="s">
        <v>47</v>
      </c>
      <c r="T8" s="5" t="s">
        <v>20</v>
      </c>
      <c r="U8" s="5" t="s">
        <v>49</v>
      </c>
      <c r="V8" s="14">
        <f>IF(OR(INPUT!$B$2="",INPUT!$B$3="",INPUT!$B$4="",INPUT!$B$5="",INPUT!$B$6=""),"",(30*IF(TRIM(INPUT!$B$2)=TRIM(B8),1,0)+20*IF(TRIM(INPUT!$B$3)=TRIM(C8),1,0)+25*MAX(0,1-((ABS(IFERROR(VALUE(TRIM(D8)),0)-IFERROR(VALUE(TRIM(INPUT!$B$4)),0))/MAX(1,IFERROR(VALUE(TRIM(INPUT!$B$4)),0))+ABS(IFERROR(VALUE(TRIM(E8)),0)-IFERROR(VALUE(TRIM(INPUT!$B$5)),0))/MAX(1,IFERROR(VALUE(TRIM(INPUT!$B$5)),0))+ABS(IFERROR(VALUE(TRIM(F8)),0)-IFERROR(VALUE(TRIM(INPUT!$B$6)),0))/MAX(1,IFERROR(VALUE(TRIM(INPUT!$B$6)),0)))/3))+25*((IF(TRIM(INPUT!$B$7)=TRIM(G8),1,0)+IF(TRIM(INPUT!$B$8)=TRIM(H8),1,0)+IF(TRIM(INPUT!$B$9)=TRIM(I8),1,0)+IF(OR(TRIM(INPUT!$B$10)=TRIM(J8),AND(TRIM(INPUT!$B$10)="L/R",OR(TRIM(J8)="L",TRIM(J8)="R",TRIM(J8)="L/R"))),1,0))/4)))</f>
        <v>38.75</v>
      </c>
      <c r="W8" s="14">
        <f>IF(V8="","",IF(AND(TRIM(B8)=TRIM(INPUT!$B$2),TRIM(C8)=TRIM(INPUT!$B$3)),V8,V8*0.4))</f>
        <v>15.5</v>
      </c>
      <c r="X8" s="14">
        <f t="shared" si="1"/>
        <v>15.5</v>
      </c>
    </row>
    <row r="9" spans="1:24" ht="87.5" customHeight="1" x14ac:dyDescent="0.45">
      <c r="A9" s="5" t="str">
        <f t="shared" si="0"/>
        <v>시니어클럽_김해구산 푸르지오_ㄱ자487035702420CCRR1050700320</v>
      </c>
      <c r="B9" s="5" t="s">
        <v>11</v>
      </c>
      <c r="C9" s="5" t="s">
        <v>12</v>
      </c>
      <c r="D9" s="5">
        <v>4870</v>
      </c>
      <c r="E9" s="5">
        <v>3570</v>
      </c>
      <c r="F9" s="5">
        <v>2420</v>
      </c>
      <c r="G9" s="5" t="s">
        <v>8</v>
      </c>
      <c r="H9" s="5" t="s">
        <v>8</v>
      </c>
      <c r="I9" s="5" t="s">
        <v>17</v>
      </c>
      <c r="J9" s="5" t="s">
        <v>17</v>
      </c>
      <c r="K9" s="5">
        <v>1050</v>
      </c>
      <c r="L9" s="5">
        <v>700</v>
      </c>
      <c r="M9" s="5">
        <v>320</v>
      </c>
      <c r="N9" s="5" t="s">
        <v>50</v>
      </c>
      <c r="O9" s="5" t="s">
        <v>47</v>
      </c>
      <c r="P9" s="5" t="s">
        <v>58</v>
      </c>
      <c r="Q9" s="5" t="s">
        <v>47</v>
      </c>
      <c r="R9" s="5" t="s">
        <v>47</v>
      </c>
      <c r="S9" s="5" t="s">
        <v>47</v>
      </c>
      <c r="T9" s="5" t="s">
        <v>47</v>
      </c>
      <c r="U9" s="5" t="s">
        <v>49</v>
      </c>
      <c r="V9" s="14">
        <f>IF(OR(INPUT!$B$2="",INPUT!$B$3="",INPUT!$B$4="",INPUT!$B$5="",INPUT!$B$6=""),"",(30*IF(TRIM(INPUT!$B$2)=TRIM(B9),1,0)+20*IF(TRIM(INPUT!$B$3)=TRIM(C9),1,0)+25*MAX(0,1-((ABS(IFERROR(VALUE(TRIM(D9)),0)-IFERROR(VALUE(TRIM(INPUT!$B$4)),0))/MAX(1,IFERROR(VALUE(TRIM(INPUT!$B$4)),0))+ABS(IFERROR(VALUE(TRIM(E9)),0)-IFERROR(VALUE(TRIM(INPUT!$B$5)),0))/MAX(1,IFERROR(VALUE(TRIM(INPUT!$B$5)),0))+ABS(IFERROR(VALUE(TRIM(F9)),0)-IFERROR(VALUE(TRIM(INPUT!$B$6)),0))/MAX(1,IFERROR(VALUE(TRIM(INPUT!$B$6)),0)))/3))+25*((IF(TRIM(INPUT!$B$7)=TRIM(G9),1,0)+IF(TRIM(INPUT!$B$8)=TRIM(H9),1,0)+IF(TRIM(INPUT!$B$9)=TRIM(I9),1,0)+IF(OR(TRIM(INPUT!$B$10)=TRIM(J9),AND(TRIM(INPUT!$B$10)="L/R",OR(TRIM(J9)="L",TRIM(J9)="R",TRIM(J9)="L/R"))),1,0))/4)))</f>
        <v>18.75</v>
      </c>
      <c r="W9" s="14">
        <f>IF(V9="","",IF(AND(TRIM(B9)=TRIM(INPUT!$B$2),TRIM(C9)=TRIM(INPUT!$B$3)),V9,V9*0.4))</f>
        <v>7.5</v>
      </c>
      <c r="X9" s="14">
        <f t="shared" si="1"/>
        <v>7.5</v>
      </c>
    </row>
    <row r="10" spans="1:24" ht="70" customHeight="1" x14ac:dyDescent="0.45">
      <c r="A10" s="5" t="str">
        <f t="shared" si="0"/>
        <v>시니어클럽_다산 진건_일자36907002320CCRR1050700320</v>
      </c>
      <c r="B10" s="5" t="s">
        <v>11</v>
      </c>
      <c r="C10" s="5" t="s">
        <v>7</v>
      </c>
      <c r="D10" s="5">
        <v>3690</v>
      </c>
      <c r="E10" s="5">
        <v>700</v>
      </c>
      <c r="F10" s="5">
        <v>2320</v>
      </c>
      <c r="G10" s="5" t="s">
        <v>8</v>
      </c>
      <c r="H10" s="5" t="s">
        <v>8</v>
      </c>
      <c r="I10" s="5" t="s">
        <v>17</v>
      </c>
      <c r="J10" s="5" t="s">
        <v>17</v>
      </c>
      <c r="K10" s="5">
        <v>1050</v>
      </c>
      <c r="L10" s="5">
        <v>700</v>
      </c>
      <c r="M10" s="5">
        <v>320</v>
      </c>
      <c r="N10" s="5" t="s">
        <v>52</v>
      </c>
      <c r="O10" s="5" t="s">
        <v>47</v>
      </c>
      <c r="P10" s="5" t="s">
        <v>58</v>
      </c>
      <c r="Q10" s="5" t="s">
        <v>47</v>
      </c>
      <c r="R10" s="5" t="s">
        <v>47</v>
      </c>
      <c r="S10" s="5" t="s">
        <v>47</v>
      </c>
      <c r="T10" s="5" t="s">
        <v>20</v>
      </c>
      <c r="U10" s="5" t="s">
        <v>49</v>
      </c>
      <c r="V10" s="14">
        <f>IF(OR(INPUT!$B$2="",INPUT!$B$3="",INPUT!$B$4="",INPUT!$B$5="",INPUT!$B$6=""),"",(30*IF(TRIM(INPUT!$B$2)=TRIM(B10),1,0)+20*IF(TRIM(INPUT!$B$3)=TRIM(C10),1,0)+25*MAX(0,1-((ABS(IFERROR(VALUE(TRIM(D10)),0)-IFERROR(VALUE(TRIM(INPUT!$B$4)),0))/MAX(1,IFERROR(VALUE(TRIM(INPUT!$B$4)),0))+ABS(IFERROR(VALUE(TRIM(E10)),0)-IFERROR(VALUE(TRIM(INPUT!$B$5)),0))/MAX(1,IFERROR(VALUE(TRIM(INPUT!$B$5)),0))+ABS(IFERROR(VALUE(TRIM(F10)),0)-IFERROR(VALUE(TRIM(INPUT!$B$6)),0))/MAX(1,IFERROR(VALUE(TRIM(INPUT!$B$6)),0)))/3))+25*((IF(TRIM(INPUT!$B$7)=TRIM(G10),1,0)+IF(TRIM(INPUT!$B$8)=TRIM(H10),1,0)+IF(TRIM(INPUT!$B$9)=TRIM(I10),1,0)+IF(OR(TRIM(INPUT!$B$10)=TRIM(J10),AND(TRIM(INPUT!$B$10)="L/R",OR(TRIM(J10)="L",TRIM(J10)="R",TRIM(J10)="L/R"))),1,0))/4)))</f>
        <v>45.879227053140099</v>
      </c>
      <c r="W10" s="14">
        <f>IF(V10="","",IF(AND(TRIM(B10)=TRIM(INPUT!$B$2),TRIM(C10)=TRIM(INPUT!$B$3)),V10,V10*0.4))</f>
        <v>18.351690821256039</v>
      </c>
      <c r="X10" s="14">
        <f t="shared" si="1"/>
        <v>18.351690821256039</v>
      </c>
    </row>
    <row r="11" spans="1:24" ht="70" customHeight="1" x14ac:dyDescent="0.45">
      <c r="A11" s="5" t="str">
        <f t="shared" si="0"/>
        <v>시니어클럽_대구중앙로역_ㄱ자480523002520CCRR1050710320</v>
      </c>
      <c r="B11" s="5" t="s">
        <v>11</v>
      </c>
      <c r="C11" s="5" t="s">
        <v>12</v>
      </c>
      <c r="D11" s="5">
        <v>4805</v>
      </c>
      <c r="E11" s="5">
        <v>2300</v>
      </c>
      <c r="F11" s="5">
        <v>2520</v>
      </c>
      <c r="G11" s="5" t="s">
        <v>8</v>
      </c>
      <c r="H11" s="5" t="s">
        <v>8</v>
      </c>
      <c r="I11" s="5" t="s">
        <v>17</v>
      </c>
      <c r="J11" s="5" t="s">
        <v>17</v>
      </c>
      <c r="K11" s="5">
        <v>1050</v>
      </c>
      <c r="L11" s="5">
        <v>710</v>
      </c>
      <c r="M11" s="5">
        <v>320</v>
      </c>
      <c r="N11" s="5" t="s">
        <v>59</v>
      </c>
      <c r="O11" s="5" t="s">
        <v>47</v>
      </c>
      <c r="P11" s="5" t="s">
        <v>58</v>
      </c>
      <c r="Q11" s="5" t="s">
        <v>47</v>
      </c>
      <c r="R11" s="5" t="s">
        <v>47</v>
      </c>
      <c r="S11" s="5" t="s">
        <v>47</v>
      </c>
      <c r="T11" s="5" t="s">
        <v>20</v>
      </c>
      <c r="U11" s="5" t="s">
        <v>49</v>
      </c>
      <c r="V11" s="14">
        <f>IF(OR(INPUT!$B$2="",INPUT!$B$3="",INPUT!$B$4="",INPUT!$B$5="",INPUT!$B$6=""),"",(30*IF(TRIM(INPUT!$B$2)=TRIM(B11),1,0)+20*IF(TRIM(INPUT!$B$3)=TRIM(C11),1,0)+25*MAX(0,1-((ABS(IFERROR(VALUE(TRIM(D11)),0)-IFERROR(VALUE(TRIM(INPUT!$B$4)),0))/MAX(1,IFERROR(VALUE(TRIM(INPUT!$B$4)),0))+ABS(IFERROR(VALUE(TRIM(E11)),0)-IFERROR(VALUE(TRIM(INPUT!$B$5)),0))/MAX(1,IFERROR(VALUE(TRIM(INPUT!$B$5)),0))+ABS(IFERROR(VALUE(TRIM(F11)),0)-IFERROR(VALUE(TRIM(INPUT!$B$6)),0))/MAX(1,IFERROR(VALUE(TRIM(INPUT!$B$6)),0)))/3))+25*((IF(TRIM(INPUT!$B$7)=TRIM(G11),1,0)+IF(TRIM(INPUT!$B$8)=TRIM(H11),1,0)+IF(TRIM(INPUT!$B$9)=TRIM(I11),1,0)+IF(OR(TRIM(INPUT!$B$10)=TRIM(J11),AND(TRIM(INPUT!$B$10)="L/R",OR(TRIM(J11)="L",TRIM(J11)="R",TRIM(J11)="L/R"))),1,0))/4)))</f>
        <v>18.75</v>
      </c>
      <c r="W11" s="14">
        <f>IF(V11="","",IF(AND(TRIM(B11)=TRIM(INPUT!$B$2),TRIM(C11)=TRIM(INPUT!$B$3)),V11,V11*0.4))</f>
        <v>7.5</v>
      </c>
      <c r="X11" s="14">
        <f t="shared" si="1"/>
        <v>7.5</v>
      </c>
    </row>
    <row r="12" spans="1:24" ht="70" customHeight="1" x14ac:dyDescent="0.45">
      <c r="A12" s="5" t="str">
        <f t="shared" si="0"/>
        <v>시니어클럽_상인 푸르지오_일자2280700690CCRR1050700320</v>
      </c>
      <c r="B12" s="5" t="s">
        <v>11</v>
      </c>
      <c r="C12" s="5" t="s">
        <v>7</v>
      </c>
      <c r="D12" s="5">
        <v>2280</v>
      </c>
      <c r="E12" s="5">
        <v>700</v>
      </c>
      <c r="F12" s="5">
        <v>690</v>
      </c>
      <c r="G12" s="5" t="s">
        <v>8</v>
      </c>
      <c r="H12" s="5" t="s">
        <v>8</v>
      </c>
      <c r="I12" s="5" t="s">
        <v>17</v>
      </c>
      <c r="J12" s="5" t="s">
        <v>17</v>
      </c>
      <c r="K12" s="5">
        <v>1050</v>
      </c>
      <c r="L12" s="5">
        <v>700</v>
      </c>
      <c r="M12" s="5">
        <v>320</v>
      </c>
      <c r="N12" s="5" t="s">
        <v>60</v>
      </c>
      <c r="O12" s="5" t="s">
        <v>47</v>
      </c>
      <c r="P12" s="5" t="s">
        <v>58</v>
      </c>
      <c r="Q12" s="5" t="s">
        <v>47</v>
      </c>
      <c r="R12" s="5" t="s">
        <v>47</v>
      </c>
      <c r="S12" s="5" t="s">
        <v>47</v>
      </c>
      <c r="T12" s="5" t="s">
        <v>20</v>
      </c>
      <c r="U12" s="5" t="s">
        <v>49</v>
      </c>
      <c r="V12" s="14">
        <f>IF(OR(INPUT!$B$2="",INPUT!$B$3="",INPUT!$B$4="",INPUT!$B$5="",INPUT!$B$6=""),"",(30*IF(TRIM(INPUT!$B$2)=TRIM(B12),1,0)+20*IF(TRIM(INPUT!$B$3)=TRIM(C12),1,0)+25*MAX(0,1-((ABS(IFERROR(VALUE(TRIM(D12)),0)-IFERROR(VALUE(TRIM(INPUT!$B$4)),0))/MAX(1,IFERROR(VALUE(TRIM(INPUT!$B$4)),0))+ABS(IFERROR(VALUE(TRIM(E12)),0)-IFERROR(VALUE(TRIM(INPUT!$B$5)),0))/MAX(1,IFERROR(VALUE(TRIM(INPUT!$B$5)),0))+ABS(IFERROR(VALUE(TRIM(F12)),0)-IFERROR(VALUE(TRIM(INPUT!$B$6)),0))/MAX(1,IFERROR(VALUE(TRIM(INPUT!$B$6)),0)))/3))+25*((IF(TRIM(INPUT!$B$7)=TRIM(G12),1,0)+IF(TRIM(INPUT!$B$8)=TRIM(H12),1,0)+IF(TRIM(INPUT!$B$9)=TRIM(I12),1,0)+IF(OR(TRIM(INPUT!$B$10)=TRIM(J12),AND(TRIM(INPUT!$B$10)="L/R",OR(TRIM(J12)="L",TRIM(J12)="R",TRIM(J12)="L/R"))),1,0))/4)))</f>
        <v>60.483393719806763</v>
      </c>
      <c r="W12" s="14">
        <f>IF(V12="","",IF(AND(TRIM(B12)=TRIM(INPUT!$B$2),TRIM(C12)=TRIM(INPUT!$B$3)),V12,V12*0.4))</f>
        <v>24.193357487922707</v>
      </c>
      <c r="X12" s="14">
        <f t="shared" si="1"/>
        <v>24.193357487922707</v>
      </c>
    </row>
    <row r="13" spans="1:24" ht="70" customHeight="1" x14ac:dyDescent="0.45">
      <c r="A13" s="5" t="str">
        <f t="shared" si="0"/>
        <v>시니어클럽_서울벤처타운역_ㄱ자396034602420CCRR1050700320</v>
      </c>
      <c r="B13" s="5" t="s">
        <v>11</v>
      </c>
      <c r="C13" s="5" t="s">
        <v>12</v>
      </c>
      <c r="D13" s="5">
        <v>3960</v>
      </c>
      <c r="E13" s="5">
        <v>3460</v>
      </c>
      <c r="F13" s="5">
        <v>2420</v>
      </c>
      <c r="G13" s="5" t="s">
        <v>8</v>
      </c>
      <c r="H13" s="5" t="s">
        <v>8</v>
      </c>
      <c r="I13" s="5" t="s">
        <v>17</v>
      </c>
      <c r="J13" s="5" t="s">
        <v>17</v>
      </c>
      <c r="K13" s="5">
        <v>1050</v>
      </c>
      <c r="L13" s="5">
        <v>700</v>
      </c>
      <c r="M13" s="5">
        <v>320</v>
      </c>
      <c r="N13" s="5" t="s">
        <v>61</v>
      </c>
      <c r="O13" s="5" t="s">
        <v>47</v>
      </c>
      <c r="P13" s="5" t="s">
        <v>58</v>
      </c>
      <c r="Q13" s="5" t="s">
        <v>47</v>
      </c>
      <c r="R13" s="5" t="s">
        <v>47</v>
      </c>
      <c r="S13" s="5" t="s">
        <v>47</v>
      </c>
      <c r="T13" s="5" t="s">
        <v>47</v>
      </c>
      <c r="U13" s="5" t="s">
        <v>55</v>
      </c>
      <c r="V13" s="14">
        <f>IF(OR(INPUT!$B$2="",INPUT!$B$3="",INPUT!$B$4="",INPUT!$B$5="",INPUT!$B$6=""),"",(30*IF(TRIM(INPUT!$B$2)=TRIM(B13),1,0)+20*IF(TRIM(INPUT!$B$3)=TRIM(C13),1,0)+25*MAX(0,1-((ABS(IFERROR(VALUE(TRIM(D13)),0)-IFERROR(VALUE(TRIM(INPUT!$B$4)),0))/MAX(1,IFERROR(VALUE(TRIM(INPUT!$B$4)),0))+ABS(IFERROR(VALUE(TRIM(E13)),0)-IFERROR(VALUE(TRIM(INPUT!$B$5)),0))/MAX(1,IFERROR(VALUE(TRIM(INPUT!$B$5)),0))+ABS(IFERROR(VALUE(TRIM(F13)),0)-IFERROR(VALUE(TRIM(INPUT!$B$6)),0))/MAX(1,IFERROR(VALUE(TRIM(INPUT!$B$6)),0)))/3))+25*((IF(TRIM(INPUT!$B$7)=TRIM(G13),1,0)+IF(TRIM(INPUT!$B$8)=TRIM(H13),1,0)+IF(TRIM(INPUT!$B$9)=TRIM(I13),1,0)+IF(OR(TRIM(INPUT!$B$10)=TRIM(J13),AND(TRIM(INPUT!$B$10)="L/R",OR(TRIM(J13)="L",TRIM(J13)="R",TRIM(J13)="L/R"))),1,0))/4)))</f>
        <v>18.75</v>
      </c>
      <c r="W13" s="14">
        <f>IF(V13="","",IF(AND(TRIM(B13)=TRIM(INPUT!$B$2),TRIM(C13)=TRIM(INPUT!$B$3)),V13,V13*0.4))</f>
        <v>7.5</v>
      </c>
      <c r="X13" s="14">
        <f t="shared" si="1"/>
        <v>7.5</v>
      </c>
    </row>
    <row r="14" spans="1:24" ht="70" customHeight="1" x14ac:dyDescent="0.45">
      <c r="A14" s="5" t="str">
        <f t="shared" si="0"/>
        <v>시니어클럽_수원고등A2BL_일자36356602420CCRR1000660320</v>
      </c>
      <c r="B14" s="5" t="s">
        <v>11</v>
      </c>
      <c r="C14" s="5" t="s">
        <v>7</v>
      </c>
      <c r="D14" s="5">
        <v>3635</v>
      </c>
      <c r="E14" s="5">
        <v>660</v>
      </c>
      <c r="F14" s="5">
        <v>2420</v>
      </c>
      <c r="G14" s="5" t="s">
        <v>8</v>
      </c>
      <c r="H14" s="5" t="s">
        <v>8</v>
      </c>
      <c r="I14" s="5" t="s">
        <v>17</v>
      </c>
      <c r="J14" s="5" t="s">
        <v>17</v>
      </c>
      <c r="K14" s="5">
        <v>1000</v>
      </c>
      <c r="L14" s="5">
        <v>660</v>
      </c>
      <c r="M14" s="5">
        <v>320</v>
      </c>
      <c r="N14" s="5" t="s">
        <v>62</v>
      </c>
      <c r="O14" s="5" t="s">
        <v>47</v>
      </c>
      <c r="P14" s="5" t="s">
        <v>58</v>
      </c>
      <c r="Q14" s="5" t="s">
        <v>47</v>
      </c>
      <c r="R14" s="5" t="s">
        <v>47</v>
      </c>
      <c r="S14" s="5" t="s">
        <v>47</v>
      </c>
      <c r="T14" s="5" t="s">
        <v>20</v>
      </c>
      <c r="U14" s="5" t="s">
        <v>49</v>
      </c>
      <c r="V14" s="14">
        <f>IF(OR(INPUT!$B$2="",INPUT!$B$3="",INPUT!$B$4="",INPUT!$B$5="",INPUT!$B$6=""),"",(30*IF(TRIM(INPUT!$B$2)=TRIM(B14),1,0)+20*IF(TRIM(INPUT!$B$3)=TRIM(C14),1,0)+25*MAX(0,1-((ABS(IFERROR(VALUE(TRIM(D14)),0)-IFERROR(VALUE(TRIM(INPUT!$B$4)),0))/MAX(1,IFERROR(VALUE(TRIM(INPUT!$B$4)),0))+ABS(IFERROR(VALUE(TRIM(E14)),0)-IFERROR(VALUE(TRIM(INPUT!$B$5)),0))/MAX(1,IFERROR(VALUE(TRIM(INPUT!$B$5)),0))+ABS(IFERROR(VALUE(TRIM(F14)),0)-IFERROR(VALUE(TRIM(INPUT!$B$6)),0))/MAX(1,IFERROR(VALUE(TRIM(INPUT!$B$6)),0)))/3))+25*((IF(TRIM(INPUT!$B$7)=TRIM(G14),1,0)+IF(TRIM(INPUT!$B$8)=TRIM(H14),1,0)+IF(TRIM(INPUT!$B$9)=TRIM(I14),1,0)+IF(OR(TRIM(INPUT!$B$10)=TRIM(J14),AND(TRIM(INPUT!$B$10)="L/R",OR(TRIM(J14)="L",TRIM(J14)="R",TRIM(J14)="L/R"))),1,0))/4)))</f>
        <v>44.748792270531403</v>
      </c>
      <c r="W14" s="14">
        <f>IF(V14="","",IF(AND(TRIM(B14)=TRIM(INPUT!$B$2),TRIM(C14)=TRIM(INPUT!$B$3)),V14,V14*0.4))</f>
        <v>17.899516908212561</v>
      </c>
      <c r="X14" s="14">
        <f t="shared" si="1"/>
        <v>17.899516908212561</v>
      </c>
    </row>
    <row r="15" spans="1:24" ht="70" customHeight="1" x14ac:dyDescent="0.45">
      <c r="A15" s="5" t="str">
        <f t="shared" si="0"/>
        <v>시니어클럽_수원 푸르지오_ㄱ자334535402420CCRR1050590320</v>
      </c>
      <c r="B15" s="5" t="s">
        <v>11</v>
      </c>
      <c r="C15" s="5" t="s">
        <v>12</v>
      </c>
      <c r="D15" s="5">
        <v>3345</v>
      </c>
      <c r="E15" s="5">
        <v>3540</v>
      </c>
      <c r="F15" s="5">
        <v>2420</v>
      </c>
      <c r="G15" s="5" t="s">
        <v>8</v>
      </c>
      <c r="H15" s="5" t="s">
        <v>8</v>
      </c>
      <c r="I15" s="5" t="s">
        <v>17</v>
      </c>
      <c r="J15" s="5" t="s">
        <v>17</v>
      </c>
      <c r="K15" s="5">
        <v>1050</v>
      </c>
      <c r="L15" s="5">
        <v>590</v>
      </c>
      <c r="M15" s="5">
        <v>320</v>
      </c>
      <c r="N15" s="5" t="s">
        <v>63</v>
      </c>
      <c r="O15" s="5" t="s">
        <v>47</v>
      </c>
      <c r="P15" s="5" t="s">
        <v>58</v>
      </c>
      <c r="Q15" s="5" t="s">
        <v>47</v>
      </c>
      <c r="R15" s="5" t="s">
        <v>47</v>
      </c>
      <c r="S15" s="5" t="s">
        <v>47</v>
      </c>
      <c r="T15" s="5" t="s">
        <v>20</v>
      </c>
      <c r="U15" s="5" t="s">
        <v>49</v>
      </c>
      <c r="V15" s="14">
        <f>IF(OR(INPUT!$B$2="",INPUT!$B$3="",INPUT!$B$4="",INPUT!$B$5="",INPUT!$B$6=""),"",(30*IF(TRIM(INPUT!$B$2)=TRIM(B15),1,0)+20*IF(TRIM(INPUT!$B$3)=TRIM(C15),1,0)+25*MAX(0,1-((ABS(IFERROR(VALUE(TRIM(D15)),0)-IFERROR(VALUE(TRIM(INPUT!$B$4)),0))/MAX(1,IFERROR(VALUE(TRIM(INPUT!$B$4)),0))+ABS(IFERROR(VALUE(TRIM(E15)),0)-IFERROR(VALUE(TRIM(INPUT!$B$5)),0))/MAX(1,IFERROR(VALUE(TRIM(INPUT!$B$5)),0))+ABS(IFERROR(VALUE(TRIM(F15)),0)-IFERROR(VALUE(TRIM(INPUT!$B$6)),0))/MAX(1,IFERROR(VALUE(TRIM(INPUT!$B$6)),0)))/3))+25*((IF(TRIM(INPUT!$B$7)=TRIM(G15),1,0)+IF(TRIM(INPUT!$B$8)=TRIM(H15),1,0)+IF(TRIM(INPUT!$B$9)=TRIM(I15),1,0)+IF(OR(TRIM(INPUT!$B$10)=TRIM(J15),AND(TRIM(INPUT!$B$10)="L/R",OR(TRIM(J15)="L",TRIM(J15)="R",TRIM(J15)="L/R"))),1,0))/4)))</f>
        <v>18.75</v>
      </c>
      <c r="W15" s="14">
        <f>IF(V15="","",IF(AND(TRIM(B15)=TRIM(INPUT!$B$2),TRIM(C15)=TRIM(INPUT!$B$3)),V15,V15*0.4))</f>
        <v>7.5</v>
      </c>
      <c r="X15" s="14">
        <f t="shared" si="1"/>
        <v>7.5</v>
      </c>
    </row>
    <row r="16" spans="1:24" ht="70" customHeight="1" x14ac:dyDescent="0.45">
      <c r="A16" s="5" t="str">
        <f t="shared" si="0"/>
        <v>시니어클럽_에코델타시티_일자40257702720CCRR1050700320</v>
      </c>
      <c r="B16" s="5" t="s">
        <v>11</v>
      </c>
      <c r="C16" s="5" t="s">
        <v>7</v>
      </c>
      <c r="D16" s="5">
        <v>4025</v>
      </c>
      <c r="E16" s="5">
        <v>770</v>
      </c>
      <c r="F16" s="5">
        <v>2720</v>
      </c>
      <c r="G16" s="5" t="s">
        <v>8</v>
      </c>
      <c r="H16" s="5" t="s">
        <v>8</v>
      </c>
      <c r="I16" s="5" t="s">
        <v>17</v>
      </c>
      <c r="J16" s="5" t="s">
        <v>17</v>
      </c>
      <c r="K16" s="5">
        <v>1050</v>
      </c>
      <c r="L16" s="5">
        <v>700</v>
      </c>
      <c r="M16" s="5">
        <v>320</v>
      </c>
      <c r="N16" s="5" t="s">
        <v>53</v>
      </c>
      <c r="O16" s="5" t="s">
        <v>47</v>
      </c>
      <c r="P16" s="5" t="s">
        <v>48</v>
      </c>
      <c r="Q16" s="5" t="s">
        <v>47</v>
      </c>
      <c r="R16" s="5" t="s">
        <v>47</v>
      </c>
      <c r="S16" s="5" t="s">
        <v>47</v>
      </c>
      <c r="T16" s="5" t="s">
        <v>47</v>
      </c>
      <c r="U16" s="5" t="s">
        <v>49</v>
      </c>
      <c r="V16" s="14">
        <f>IF(OR(INPUT!$B$2="",INPUT!$B$3="",INPUT!$B$4="",INPUT!$B$5="",INPUT!$B$6=""),"",(30*IF(TRIM(INPUT!$B$2)=TRIM(B16),1,0)+20*IF(TRIM(INPUT!$B$3)=TRIM(C16),1,0)+25*MAX(0,1-((ABS(IFERROR(VALUE(TRIM(D16)),0)-IFERROR(VALUE(TRIM(INPUT!$B$4)),0))/MAX(1,IFERROR(VALUE(TRIM(INPUT!$B$4)),0))+ABS(IFERROR(VALUE(TRIM(E16)),0)-IFERROR(VALUE(TRIM(INPUT!$B$5)),0))/MAX(1,IFERROR(VALUE(TRIM(INPUT!$B$5)),0))+ABS(IFERROR(VALUE(TRIM(F16)),0)-IFERROR(VALUE(TRIM(INPUT!$B$6)),0))/MAX(1,IFERROR(VALUE(TRIM(INPUT!$B$6)),0)))/3))+25*((IF(TRIM(INPUT!$B$7)=TRIM(G16),1,0)+IF(TRIM(INPUT!$B$8)=TRIM(H16),1,0)+IF(TRIM(INPUT!$B$9)=TRIM(I16),1,0)+IF(OR(TRIM(INPUT!$B$10)=TRIM(J16),AND(TRIM(INPUT!$B$10)="L/R",OR(TRIM(J16)="L",TRIM(J16)="R",TRIM(J16)="L/R"))),1,0))/4)))</f>
        <v>39.936594202898547</v>
      </c>
      <c r="W16" s="14">
        <f>IF(V16="","",IF(AND(TRIM(B16)=TRIM(INPUT!$B$2),TRIM(C16)=TRIM(INPUT!$B$3)),V16,V16*0.4))</f>
        <v>15.97463768115942</v>
      </c>
      <c r="X16" s="14">
        <f t="shared" si="1"/>
        <v>15.97463768115942</v>
      </c>
    </row>
    <row r="17" spans="1:24" ht="70" customHeight="1" x14ac:dyDescent="0.45">
      <c r="A17" s="5" t="str">
        <f t="shared" si="0"/>
        <v>시니어클럽_음성 푸르지오_ㄱ자264054152420CCRR1050700320</v>
      </c>
      <c r="B17" s="5" t="s">
        <v>11</v>
      </c>
      <c r="C17" s="5" t="s">
        <v>12</v>
      </c>
      <c r="D17" s="5">
        <v>2640</v>
      </c>
      <c r="E17" s="5">
        <v>5415</v>
      </c>
      <c r="F17" s="5">
        <v>2420</v>
      </c>
      <c r="G17" s="5" t="s">
        <v>8</v>
      </c>
      <c r="H17" s="5" t="s">
        <v>8</v>
      </c>
      <c r="I17" s="5" t="s">
        <v>17</v>
      </c>
      <c r="J17" s="5" t="s">
        <v>17</v>
      </c>
      <c r="K17" s="5">
        <v>1050</v>
      </c>
      <c r="L17" s="5">
        <v>700</v>
      </c>
      <c r="M17" s="5">
        <v>320</v>
      </c>
      <c r="N17" s="5" t="s">
        <v>46</v>
      </c>
      <c r="O17" s="5" t="s">
        <v>47</v>
      </c>
      <c r="P17" s="5" t="s">
        <v>58</v>
      </c>
      <c r="Q17" s="5" t="s">
        <v>47</v>
      </c>
      <c r="R17" s="5" t="s">
        <v>47</v>
      </c>
      <c r="S17" s="5" t="s">
        <v>47</v>
      </c>
      <c r="T17" s="5" t="s">
        <v>20</v>
      </c>
      <c r="U17" s="5" t="s">
        <v>49</v>
      </c>
      <c r="V17" s="14">
        <f>IF(OR(INPUT!$B$2="",INPUT!$B$3="",INPUT!$B$4="",INPUT!$B$5="",INPUT!$B$6=""),"",(30*IF(TRIM(INPUT!$B$2)=TRIM(B17),1,0)+20*IF(TRIM(INPUT!$B$3)=TRIM(C17),1,0)+25*MAX(0,1-((ABS(IFERROR(VALUE(TRIM(D17)),0)-IFERROR(VALUE(TRIM(INPUT!$B$4)),0))/MAX(1,IFERROR(VALUE(TRIM(INPUT!$B$4)),0))+ABS(IFERROR(VALUE(TRIM(E17)),0)-IFERROR(VALUE(TRIM(INPUT!$B$5)),0))/MAX(1,IFERROR(VALUE(TRIM(INPUT!$B$5)),0))+ABS(IFERROR(VALUE(TRIM(F17)),0)-IFERROR(VALUE(TRIM(INPUT!$B$6)),0))/MAX(1,IFERROR(VALUE(TRIM(INPUT!$B$6)),0)))/3))+25*((IF(TRIM(INPUT!$B$7)=TRIM(G17),1,0)+IF(TRIM(INPUT!$B$8)=TRIM(H17),1,0)+IF(TRIM(INPUT!$B$9)=TRIM(I17),1,0)+IF(OR(TRIM(INPUT!$B$10)=TRIM(J17),AND(TRIM(INPUT!$B$10)="L/R",OR(TRIM(J17)="L",TRIM(J17)="R",TRIM(J17)="L/R"))),1,0))/4)))</f>
        <v>18.75</v>
      </c>
      <c r="W17" s="14">
        <f>IF(V17="","",IF(AND(TRIM(B17)=TRIM(INPUT!$B$2),TRIM(C17)=TRIM(INPUT!$B$3)),V17,V17*0.4))</f>
        <v>7.5</v>
      </c>
      <c r="X17" s="14">
        <f t="shared" si="1"/>
        <v>7.5</v>
      </c>
    </row>
    <row r="18" spans="1:24" ht="70" customHeight="1" x14ac:dyDescent="0.45">
      <c r="A18" s="5" t="str">
        <f t="shared" si="0"/>
        <v>시니어클럽_일산 푸르지오_ㄱ자348024502300RCXL/R1130710320</v>
      </c>
      <c r="B18" s="5" t="s">
        <v>11</v>
      </c>
      <c r="C18" s="5" t="s">
        <v>12</v>
      </c>
      <c r="D18" s="5">
        <v>3480</v>
      </c>
      <c r="E18" s="5">
        <v>2450</v>
      </c>
      <c r="F18" s="5">
        <v>2300</v>
      </c>
      <c r="G18" s="5" t="s">
        <v>17</v>
      </c>
      <c r="H18" s="5" t="s">
        <v>8</v>
      </c>
      <c r="I18" s="5" t="s">
        <v>20</v>
      </c>
      <c r="J18" s="5" t="s">
        <v>21</v>
      </c>
      <c r="K18" s="5">
        <v>1130</v>
      </c>
      <c r="L18" s="5">
        <v>710</v>
      </c>
      <c r="M18" s="5">
        <v>320</v>
      </c>
      <c r="N18" s="5" t="s">
        <v>64</v>
      </c>
      <c r="O18" s="5" t="s">
        <v>47</v>
      </c>
      <c r="P18" s="5" t="s">
        <v>58</v>
      </c>
      <c r="Q18" s="5" t="s">
        <v>47</v>
      </c>
      <c r="R18" s="5" t="s">
        <v>47</v>
      </c>
      <c r="S18" s="5" t="s">
        <v>20</v>
      </c>
      <c r="T18" s="5" t="s">
        <v>20</v>
      </c>
      <c r="U18" s="5" t="s">
        <v>65</v>
      </c>
      <c r="V18" s="14">
        <f>IF(OR(INPUT!$B$2="",INPUT!$B$3="",INPUT!$B$4="",INPUT!$B$5="",INPUT!$B$6=""),"",(30*IF(TRIM(INPUT!$B$2)=TRIM(B18),1,0)+20*IF(TRIM(INPUT!$B$3)=TRIM(C18),1,0)+25*MAX(0,1-((ABS(IFERROR(VALUE(TRIM(D18)),0)-IFERROR(VALUE(TRIM(INPUT!$B$4)),0))/MAX(1,IFERROR(VALUE(TRIM(INPUT!$B$4)),0))+ABS(IFERROR(VALUE(TRIM(E18)),0)-IFERROR(VALUE(TRIM(INPUT!$B$5)),0))/MAX(1,IFERROR(VALUE(TRIM(INPUT!$B$5)),0))+ABS(IFERROR(VALUE(TRIM(F18)),0)-IFERROR(VALUE(TRIM(INPUT!$B$6)),0))/MAX(1,IFERROR(VALUE(TRIM(INPUT!$B$6)),0)))/3))+25*((IF(TRIM(INPUT!$B$7)=TRIM(G18),1,0)+IF(TRIM(INPUT!$B$8)=TRIM(H18),1,0)+IF(TRIM(INPUT!$B$9)=TRIM(I18),1,0)+IF(OR(TRIM(INPUT!$B$10)=TRIM(J18),AND(TRIM(INPUT!$B$10)="L/R",OR(TRIM(J18)="L",TRIM(J18)="R",TRIM(J18)="L/R"))),1,0))/4)))</f>
        <v>12.5</v>
      </c>
      <c r="W18" s="14">
        <f>IF(V18="","",IF(AND(TRIM(B18)=TRIM(INPUT!$B$2),TRIM(C18)=TRIM(INPUT!$B$3)),V18,V18*0.4))</f>
        <v>5</v>
      </c>
      <c r="X18" s="14">
        <f t="shared" si="1"/>
        <v>5</v>
      </c>
    </row>
    <row r="19" spans="1:24" ht="70" customHeight="1" x14ac:dyDescent="0.45">
      <c r="A19" s="5" t="str">
        <f t="shared" si="0"/>
        <v>시니어클럽_과천 지식정보타운_ㄱ자431523902400RCRC900690300</v>
      </c>
      <c r="B19" s="5" t="s">
        <v>11</v>
      </c>
      <c r="C19" s="5" t="s">
        <v>12</v>
      </c>
      <c r="D19" s="5">
        <v>4315</v>
      </c>
      <c r="E19" s="5">
        <v>2390</v>
      </c>
      <c r="F19" s="5">
        <v>2400</v>
      </c>
      <c r="G19" s="5" t="s">
        <v>17</v>
      </c>
      <c r="H19" s="5" t="s">
        <v>8</v>
      </c>
      <c r="I19" s="5" t="s">
        <v>17</v>
      </c>
      <c r="J19" s="5" t="s">
        <v>8</v>
      </c>
      <c r="K19" s="5">
        <v>900</v>
      </c>
      <c r="L19" s="5">
        <v>690</v>
      </c>
      <c r="M19" s="5">
        <v>300</v>
      </c>
      <c r="N19" s="5" t="s">
        <v>66</v>
      </c>
      <c r="O19" s="5" t="s">
        <v>20</v>
      </c>
      <c r="P19" s="5" t="s">
        <v>51</v>
      </c>
      <c r="Q19" s="5" t="s">
        <v>47</v>
      </c>
      <c r="R19" s="5" t="s">
        <v>47</v>
      </c>
      <c r="S19" s="5" t="s">
        <v>47</v>
      </c>
      <c r="T19" s="5" t="s">
        <v>20</v>
      </c>
      <c r="U19" s="5" t="s">
        <v>67</v>
      </c>
      <c r="V19" s="14">
        <f>IF(OR(INPUT!$B$2="",INPUT!$B$3="",INPUT!$B$4="",INPUT!$B$5="",INPUT!$B$6=""),"",(30*IF(TRIM(INPUT!$B$2)=TRIM(B19),1,0)+20*IF(TRIM(INPUT!$B$3)=TRIM(C19),1,0)+25*MAX(0,1-((ABS(IFERROR(VALUE(TRIM(D19)),0)-IFERROR(VALUE(TRIM(INPUT!$B$4)),0))/MAX(1,IFERROR(VALUE(TRIM(INPUT!$B$4)),0))+ABS(IFERROR(VALUE(TRIM(E19)),0)-IFERROR(VALUE(TRIM(INPUT!$B$5)),0))/MAX(1,IFERROR(VALUE(TRIM(INPUT!$B$5)),0))+ABS(IFERROR(VALUE(TRIM(F19)),0)-IFERROR(VALUE(TRIM(INPUT!$B$6)),0))/MAX(1,IFERROR(VALUE(TRIM(INPUT!$B$6)),0)))/3))+25*((IF(TRIM(INPUT!$B$7)=TRIM(G19),1,0)+IF(TRIM(INPUT!$B$8)=TRIM(H19),1,0)+IF(TRIM(INPUT!$B$9)=TRIM(I19),1,0)+IF(OR(TRIM(INPUT!$B$10)=TRIM(J19),AND(TRIM(INPUT!$B$10)="L/R",OR(TRIM(J19)="L",TRIM(J19)="R",TRIM(J19)="L/R"))),1,0))/4)))</f>
        <v>6.25</v>
      </c>
      <c r="W19" s="14">
        <f>IF(V19="","",IF(AND(TRIM(B19)=TRIM(INPUT!$B$2),TRIM(C19)=TRIM(INPUT!$B$3)),V19,V19*0.4))</f>
        <v>2.5</v>
      </c>
      <c r="X19" s="14">
        <f t="shared" si="1"/>
        <v>2.5</v>
      </c>
    </row>
    <row r="20" spans="1:24" ht="87.5" customHeight="1" x14ac:dyDescent="0.45">
      <c r="A20" s="5" t="str">
        <f t="shared" si="0"/>
        <v>시니어클럽_과천 어울림라비엔오_ㄱ자230022002390CCRR1000590320</v>
      </c>
      <c r="B20" s="5" t="s">
        <v>11</v>
      </c>
      <c r="C20" s="5" t="s">
        <v>12</v>
      </c>
      <c r="D20" s="5">
        <v>2300</v>
      </c>
      <c r="E20" s="5">
        <v>2200</v>
      </c>
      <c r="F20" s="5">
        <v>2390</v>
      </c>
      <c r="G20" s="5" t="s">
        <v>8</v>
      </c>
      <c r="H20" s="5" t="s">
        <v>8</v>
      </c>
      <c r="I20" s="5" t="s">
        <v>17</v>
      </c>
      <c r="J20" s="5" t="s">
        <v>17</v>
      </c>
      <c r="K20" s="5">
        <v>1000</v>
      </c>
      <c r="L20" s="5">
        <v>590</v>
      </c>
      <c r="M20" s="5">
        <v>320</v>
      </c>
      <c r="N20" s="5" t="s">
        <v>68</v>
      </c>
      <c r="O20" s="5" t="s">
        <v>47</v>
      </c>
      <c r="P20" s="5" t="s">
        <v>58</v>
      </c>
      <c r="Q20" s="5" t="s">
        <v>47</v>
      </c>
      <c r="R20" s="5" t="s">
        <v>47</v>
      </c>
      <c r="S20" s="5" t="s">
        <v>47</v>
      </c>
      <c r="T20" s="5" t="s">
        <v>20</v>
      </c>
      <c r="U20" s="5" t="s">
        <v>55</v>
      </c>
      <c r="V20" s="14">
        <f>IF(OR(INPUT!$B$2="",INPUT!$B$3="",INPUT!$B$4="",INPUT!$B$5="",INPUT!$B$6=""),"",(30*IF(TRIM(INPUT!$B$2)=TRIM(B20),1,0)+20*IF(TRIM(INPUT!$B$3)=TRIM(C20),1,0)+25*MAX(0,1-((ABS(IFERROR(VALUE(TRIM(D20)),0)-IFERROR(VALUE(TRIM(INPUT!$B$4)),0))/MAX(1,IFERROR(VALUE(TRIM(INPUT!$B$4)),0))+ABS(IFERROR(VALUE(TRIM(E20)),0)-IFERROR(VALUE(TRIM(INPUT!$B$5)),0))/MAX(1,IFERROR(VALUE(TRIM(INPUT!$B$5)),0))+ABS(IFERROR(VALUE(TRIM(F20)),0)-IFERROR(VALUE(TRIM(INPUT!$B$6)),0))/MAX(1,IFERROR(VALUE(TRIM(INPUT!$B$6)),0)))/3))+25*((IF(TRIM(INPUT!$B$7)=TRIM(G20),1,0)+IF(TRIM(INPUT!$B$8)=TRIM(H20),1,0)+IF(TRIM(INPUT!$B$9)=TRIM(I20),1,0)+IF(OR(TRIM(INPUT!$B$10)=TRIM(J20),AND(TRIM(INPUT!$B$10)="L/R",OR(TRIM(J20)="L",TRIM(J20)="R",TRIM(J20)="L/R"))),1,0))/4)))</f>
        <v>18.75</v>
      </c>
      <c r="W20" s="14">
        <f>IF(V20="","",IF(AND(TRIM(B20)=TRIM(INPUT!$B$2),TRIM(C20)=TRIM(INPUT!$B$3)),V20,V20*0.4))</f>
        <v>7.5</v>
      </c>
      <c r="X20" s="14">
        <f t="shared" si="1"/>
        <v>7.5</v>
      </c>
    </row>
    <row r="21" spans="1:24" ht="70" customHeight="1" x14ac:dyDescent="0.45">
      <c r="A21" s="5" t="str">
        <f t="shared" si="0"/>
        <v>어린이집_구미 푸르지오_ㄱ자455024602420CCRR1100700320</v>
      </c>
      <c r="B21" s="5" t="s">
        <v>15</v>
      </c>
      <c r="C21" s="5" t="s">
        <v>12</v>
      </c>
      <c r="D21" s="5">
        <v>4550</v>
      </c>
      <c r="E21" s="5">
        <v>2460</v>
      </c>
      <c r="F21" s="5">
        <v>2420</v>
      </c>
      <c r="G21" s="5" t="s">
        <v>8</v>
      </c>
      <c r="H21" s="5" t="s">
        <v>8</v>
      </c>
      <c r="I21" s="5" t="s">
        <v>17</v>
      </c>
      <c r="J21" s="5" t="s">
        <v>17</v>
      </c>
      <c r="K21" s="5">
        <v>1100</v>
      </c>
      <c r="L21" s="5">
        <v>700</v>
      </c>
      <c r="M21" s="5">
        <v>320</v>
      </c>
      <c r="N21" s="5" t="s">
        <v>56</v>
      </c>
      <c r="O21" s="5" t="s">
        <v>47</v>
      </c>
      <c r="P21" s="5" t="s">
        <v>48</v>
      </c>
      <c r="Q21" s="5" t="s">
        <v>47</v>
      </c>
      <c r="R21" s="5" t="s">
        <v>47</v>
      </c>
      <c r="S21" s="5" t="s">
        <v>47</v>
      </c>
      <c r="T21" s="5" t="s">
        <v>20</v>
      </c>
      <c r="U21" s="5" t="s">
        <v>55</v>
      </c>
      <c r="V21" s="14">
        <f>IF(OR(INPUT!$B$2="",INPUT!$B$3="",INPUT!$B$4="",INPUT!$B$5="",INPUT!$B$6=""),"",(30*IF(TRIM(INPUT!$B$2)=TRIM(B21),1,0)+20*IF(TRIM(INPUT!$B$3)=TRIM(C21),1,0)+25*MAX(0,1-((ABS(IFERROR(VALUE(TRIM(D21)),0)-IFERROR(VALUE(TRIM(INPUT!$B$4)),0))/MAX(1,IFERROR(VALUE(TRIM(INPUT!$B$4)),0))+ABS(IFERROR(VALUE(TRIM(E21)),0)-IFERROR(VALUE(TRIM(INPUT!$B$5)),0))/MAX(1,IFERROR(VALUE(TRIM(INPUT!$B$5)),0))+ABS(IFERROR(VALUE(TRIM(F21)),0)-IFERROR(VALUE(TRIM(INPUT!$B$6)),0))/MAX(1,IFERROR(VALUE(TRIM(INPUT!$B$6)),0)))/3))+25*((IF(TRIM(INPUT!$B$7)=TRIM(G21),1,0)+IF(TRIM(INPUT!$B$8)=TRIM(H21),1,0)+IF(TRIM(INPUT!$B$9)=TRIM(I21),1,0)+IF(OR(TRIM(INPUT!$B$10)=TRIM(J21),AND(TRIM(INPUT!$B$10)="L/R",OR(TRIM(J21)="L",TRIM(J21)="R",TRIM(J21)="L/R"))),1,0))/4)))</f>
        <v>18.75</v>
      </c>
      <c r="W21" s="14">
        <f>IF(V21="","",IF(AND(TRIM(B21)=TRIM(INPUT!$B$2),TRIM(C21)=TRIM(INPUT!$B$3)),V21,V21*0.4))</f>
        <v>7.5</v>
      </c>
      <c r="X21" s="14">
        <f t="shared" si="1"/>
        <v>7.5</v>
      </c>
    </row>
    <row r="22" spans="1:24" ht="70" customHeight="1" x14ac:dyDescent="0.45">
      <c r="A22" s="5" t="str">
        <f t="shared" si="0"/>
        <v>어린이집_김해 2차_ㄱ자559031802350CCRL/R1100710320</v>
      </c>
      <c r="B22" s="5" t="s">
        <v>15</v>
      </c>
      <c r="C22" s="5" t="s">
        <v>12</v>
      </c>
      <c r="D22" s="5">
        <v>5590</v>
      </c>
      <c r="E22" s="5">
        <v>3180</v>
      </c>
      <c r="F22" s="5">
        <v>2350</v>
      </c>
      <c r="G22" s="5" t="s">
        <v>8</v>
      </c>
      <c r="H22" s="5" t="s">
        <v>8</v>
      </c>
      <c r="I22" s="5" t="s">
        <v>17</v>
      </c>
      <c r="J22" s="5" t="s">
        <v>21</v>
      </c>
      <c r="K22" s="5">
        <v>1100</v>
      </c>
      <c r="L22" s="5">
        <v>710</v>
      </c>
      <c r="M22" s="5">
        <v>320</v>
      </c>
      <c r="N22" s="5" t="s">
        <v>57</v>
      </c>
      <c r="O22" s="5" t="s">
        <v>47</v>
      </c>
      <c r="P22" s="5" t="s">
        <v>51</v>
      </c>
      <c r="Q22" s="5" t="s">
        <v>47</v>
      </c>
      <c r="R22" s="5" t="s">
        <v>47</v>
      </c>
      <c r="S22" s="5" t="s">
        <v>47</v>
      </c>
      <c r="T22" s="5" t="s">
        <v>20</v>
      </c>
      <c r="U22" s="5" t="s">
        <v>67</v>
      </c>
      <c r="V22" s="14">
        <f>IF(OR(INPUT!$B$2="",INPUT!$B$3="",INPUT!$B$4="",INPUT!$B$5="",INPUT!$B$6=""),"",(30*IF(TRIM(INPUT!$B$2)=TRIM(B22),1,0)+20*IF(TRIM(INPUT!$B$3)=TRIM(C22),1,0)+25*MAX(0,1-((ABS(IFERROR(VALUE(TRIM(D22)),0)-IFERROR(VALUE(TRIM(INPUT!$B$4)),0))/MAX(1,IFERROR(VALUE(TRIM(INPUT!$B$4)),0))+ABS(IFERROR(VALUE(TRIM(E22)),0)-IFERROR(VALUE(TRIM(INPUT!$B$5)),0))/MAX(1,IFERROR(VALUE(TRIM(INPUT!$B$5)),0))+ABS(IFERROR(VALUE(TRIM(F22)),0)-IFERROR(VALUE(TRIM(INPUT!$B$6)),0))/MAX(1,IFERROR(VALUE(TRIM(INPUT!$B$6)),0)))/3))+25*((IF(TRIM(INPUT!$B$7)=TRIM(G22),1,0)+IF(TRIM(INPUT!$B$8)=TRIM(H22),1,0)+IF(TRIM(INPUT!$B$9)=TRIM(I22),1,0)+IF(OR(TRIM(INPUT!$B$10)=TRIM(J22),AND(TRIM(INPUT!$B$10)="L/R",OR(TRIM(J22)="L",TRIM(J22)="R",TRIM(J22)="L/R"))),1,0))/4)))</f>
        <v>18.75</v>
      </c>
      <c r="W22" s="14">
        <f>IF(V22="","",IF(AND(TRIM(B22)=TRIM(INPUT!$B$2),TRIM(C22)=TRIM(INPUT!$B$3)),V22,V22*0.4))</f>
        <v>7.5</v>
      </c>
      <c r="X22" s="14">
        <f t="shared" si="1"/>
        <v>7.5</v>
      </c>
    </row>
    <row r="23" spans="1:24" ht="70" customHeight="1" x14ac:dyDescent="0.45">
      <c r="A23" s="5" t="str">
        <f t="shared" si="0"/>
        <v>어린이집_김해구산 푸르지오_ㄱ자338033802720CCRR1100700320</v>
      </c>
      <c r="B23" s="5" t="s">
        <v>15</v>
      </c>
      <c r="C23" s="5" t="s">
        <v>12</v>
      </c>
      <c r="D23" s="5">
        <v>3380</v>
      </c>
      <c r="E23" s="5">
        <v>3380</v>
      </c>
      <c r="F23" s="5">
        <v>2720</v>
      </c>
      <c r="G23" s="5" t="s">
        <v>8</v>
      </c>
      <c r="H23" s="5" t="s">
        <v>8</v>
      </c>
      <c r="I23" s="5" t="s">
        <v>17</v>
      </c>
      <c r="J23" s="5" t="s">
        <v>17</v>
      </c>
      <c r="K23" s="5">
        <v>1100</v>
      </c>
      <c r="L23" s="5">
        <v>700</v>
      </c>
      <c r="M23" s="5">
        <v>320</v>
      </c>
      <c r="N23" s="5" t="s">
        <v>50</v>
      </c>
      <c r="O23" s="5" t="s">
        <v>47</v>
      </c>
      <c r="P23" s="5" t="s">
        <v>51</v>
      </c>
      <c r="Q23" s="5" t="s">
        <v>47</v>
      </c>
      <c r="R23" s="5" t="s">
        <v>47</v>
      </c>
      <c r="S23" s="5" t="s">
        <v>47</v>
      </c>
      <c r="T23" s="5" t="s">
        <v>47</v>
      </c>
      <c r="U23" s="5" t="s">
        <v>55</v>
      </c>
      <c r="V23" s="14">
        <f>IF(OR(INPUT!$B$2="",INPUT!$B$3="",INPUT!$B$4="",INPUT!$B$5="",INPUT!$B$6=""),"",(30*IF(TRIM(INPUT!$B$2)=TRIM(B23),1,0)+20*IF(TRIM(INPUT!$B$3)=TRIM(C23),1,0)+25*MAX(0,1-((ABS(IFERROR(VALUE(TRIM(D23)),0)-IFERROR(VALUE(TRIM(INPUT!$B$4)),0))/MAX(1,IFERROR(VALUE(TRIM(INPUT!$B$4)),0))+ABS(IFERROR(VALUE(TRIM(E23)),0)-IFERROR(VALUE(TRIM(INPUT!$B$5)),0))/MAX(1,IFERROR(VALUE(TRIM(INPUT!$B$5)),0))+ABS(IFERROR(VALUE(TRIM(F23)),0)-IFERROR(VALUE(TRIM(INPUT!$B$6)),0))/MAX(1,IFERROR(VALUE(TRIM(INPUT!$B$6)),0)))/3))+25*((IF(TRIM(INPUT!$B$7)=TRIM(G23),1,0)+IF(TRIM(INPUT!$B$8)=TRIM(H23),1,0)+IF(TRIM(INPUT!$B$9)=TRIM(I23),1,0)+IF(OR(TRIM(INPUT!$B$10)=TRIM(J23),AND(TRIM(INPUT!$B$10)="L/R",OR(TRIM(J23)="L",TRIM(J23)="R",TRIM(J23)="L/R"))),1,0))/4)))</f>
        <v>18.75</v>
      </c>
      <c r="W23" s="14">
        <f>IF(V23="","",IF(AND(TRIM(B23)=TRIM(INPUT!$B$2),TRIM(C23)=TRIM(INPUT!$B$3)),V23,V23*0.4))</f>
        <v>7.5</v>
      </c>
      <c r="X23" s="14">
        <f t="shared" si="1"/>
        <v>7.5</v>
      </c>
    </row>
    <row r="24" spans="1:24" ht="70" customHeight="1" x14ac:dyDescent="0.45">
      <c r="A24" s="5" t="str">
        <f t="shared" si="0"/>
        <v>어린이집_다산 진건_ㄱ자380024502420CCRL/R1050710320</v>
      </c>
      <c r="B24" s="5" t="s">
        <v>15</v>
      </c>
      <c r="C24" s="5" t="s">
        <v>12</v>
      </c>
      <c r="D24" s="5">
        <v>3800</v>
      </c>
      <c r="E24" s="5">
        <v>2450</v>
      </c>
      <c r="F24" s="5">
        <v>2420</v>
      </c>
      <c r="G24" s="5" t="s">
        <v>8</v>
      </c>
      <c r="H24" s="5" t="s">
        <v>8</v>
      </c>
      <c r="I24" s="5" t="s">
        <v>17</v>
      </c>
      <c r="J24" s="5" t="s">
        <v>21</v>
      </c>
      <c r="K24" s="5">
        <v>1050</v>
      </c>
      <c r="L24" s="5">
        <v>710</v>
      </c>
      <c r="M24" s="5">
        <v>320</v>
      </c>
      <c r="N24" s="5" t="s">
        <v>52</v>
      </c>
      <c r="O24" s="5" t="s">
        <v>47</v>
      </c>
      <c r="P24" s="5" t="s">
        <v>51</v>
      </c>
      <c r="Q24" s="5" t="s">
        <v>47</v>
      </c>
      <c r="R24" s="5" t="s">
        <v>47</v>
      </c>
      <c r="S24" s="5" t="s">
        <v>47</v>
      </c>
      <c r="T24" s="5" t="s">
        <v>20</v>
      </c>
      <c r="U24" s="5" t="s">
        <v>67</v>
      </c>
      <c r="V24" s="14">
        <f>IF(OR(INPUT!$B$2="",INPUT!$B$3="",INPUT!$B$4="",INPUT!$B$5="",INPUT!$B$6=""),"",(30*IF(TRIM(INPUT!$B$2)=TRIM(B24),1,0)+20*IF(TRIM(INPUT!$B$3)=TRIM(C24),1,0)+25*MAX(0,1-((ABS(IFERROR(VALUE(TRIM(D24)),0)-IFERROR(VALUE(TRIM(INPUT!$B$4)),0))/MAX(1,IFERROR(VALUE(TRIM(INPUT!$B$4)),0))+ABS(IFERROR(VALUE(TRIM(E24)),0)-IFERROR(VALUE(TRIM(INPUT!$B$5)),0))/MAX(1,IFERROR(VALUE(TRIM(INPUT!$B$5)),0))+ABS(IFERROR(VALUE(TRIM(F24)),0)-IFERROR(VALUE(TRIM(INPUT!$B$6)),0))/MAX(1,IFERROR(VALUE(TRIM(INPUT!$B$6)),0)))/3))+25*((IF(TRIM(INPUT!$B$7)=TRIM(G24),1,0)+IF(TRIM(INPUT!$B$8)=TRIM(H24),1,0)+IF(TRIM(INPUT!$B$9)=TRIM(I24),1,0)+IF(OR(TRIM(INPUT!$B$10)=TRIM(J24),AND(TRIM(INPUT!$B$10)="L/R",OR(TRIM(J24)="L",TRIM(J24)="R",TRIM(J24)="L/R"))),1,0))/4)))</f>
        <v>18.75</v>
      </c>
      <c r="W24" s="14">
        <f>IF(V24="","",IF(AND(TRIM(B24)=TRIM(INPUT!$B$2),TRIM(C24)=TRIM(INPUT!$B$3)),V24,V24*0.4))</f>
        <v>7.5</v>
      </c>
      <c r="X24" s="14">
        <f t="shared" si="1"/>
        <v>7.5</v>
      </c>
    </row>
    <row r="25" spans="1:24" ht="70" customHeight="1" x14ac:dyDescent="0.45">
      <c r="A25" s="5" t="str">
        <f t="shared" si="0"/>
        <v>어린이집_상인 푸르지오_ㄱ자386025102300CCRR1100690320</v>
      </c>
      <c r="B25" s="5" t="s">
        <v>15</v>
      </c>
      <c r="C25" s="5" t="s">
        <v>12</v>
      </c>
      <c r="D25" s="5">
        <v>3860</v>
      </c>
      <c r="E25" s="5">
        <v>2510</v>
      </c>
      <c r="F25" s="5">
        <v>2300</v>
      </c>
      <c r="G25" s="5" t="s">
        <v>8</v>
      </c>
      <c r="H25" s="5" t="s">
        <v>8</v>
      </c>
      <c r="I25" s="5" t="s">
        <v>17</v>
      </c>
      <c r="J25" s="5" t="s">
        <v>17</v>
      </c>
      <c r="K25" s="5">
        <v>1100</v>
      </c>
      <c r="L25" s="5">
        <v>690</v>
      </c>
      <c r="M25" s="5">
        <v>320</v>
      </c>
      <c r="N25" s="5" t="s">
        <v>60</v>
      </c>
      <c r="O25" s="5" t="s">
        <v>47</v>
      </c>
      <c r="P25" s="5" t="s">
        <v>51</v>
      </c>
      <c r="Q25" s="5" t="s">
        <v>47</v>
      </c>
      <c r="R25" s="5" t="s">
        <v>47</v>
      </c>
      <c r="S25" s="5" t="s">
        <v>47</v>
      </c>
      <c r="T25" s="5" t="s">
        <v>20</v>
      </c>
      <c r="U25" s="5" t="s">
        <v>55</v>
      </c>
      <c r="V25" s="14">
        <f>IF(OR(INPUT!$B$2="",INPUT!$B$3="",INPUT!$B$4="",INPUT!$B$5="",INPUT!$B$6=""),"",(30*IF(TRIM(INPUT!$B$2)=TRIM(B25),1,0)+20*IF(TRIM(INPUT!$B$3)=TRIM(C25),1,0)+25*MAX(0,1-((ABS(IFERROR(VALUE(TRIM(D25)),0)-IFERROR(VALUE(TRIM(INPUT!$B$4)),0))/MAX(1,IFERROR(VALUE(TRIM(INPUT!$B$4)),0))+ABS(IFERROR(VALUE(TRIM(E25)),0)-IFERROR(VALUE(TRIM(INPUT!$B$5)),0))/MAX(1,IFERROR(VALUE(TRIM(INPUT!$B$5)),0))+ABS(IFERROR(VALUE(TRIM(F25)),0)-IFERROR(VALUE(TRIM(INPUT!$B$6)),0))/MAX(1,IFERROR(VALUE(TRIM(INPUT!$B$6)),0)))/3))+25*((IF(TRIM(INPUT!$B$7)=TRIM(G25),1,0)+IF(TRIM(INPUT!$B$8)=TRIM(H25),1,0)+IF(TRIM(INPUT!$B$9)=TRIM(I25),1,0)+IF(OR(TRIM(INPUT!$B$10)=TRIM(J25),AND(TRIM(INPUT!$B$10)="L/R",OR(TRIM(J25)="L",TRIM(J25)="R",TRIM(J25)="L/R"))),1,0))/4)))</f>
        <v>18.75</v>
      </c>
      <c r="W25" s="14">
        <f>IF(V25="","",IF(AND(TRIM(B25)=TRIM(INPUT!$B$2),TRIM(C25)=TRIM(INPUT!$B$3)),V25,V25*0.4))</f>
        <v>7.5</v>
      </c>
      <c r="X25" s="14">
        <f t="shared" si="1"/>
        <v>7.5</v>
      </c>
    </row>
    <row r="26" spans="1:24" ht="70" customHeight="1" x14ac:dyDescent="0.45">
      <c r="A26" s="5" t="str">
        <f t="shared" si="0"/>
        <v>어린이집_서울벤처타운역_ㄱ자440532002420CCRL1050650320</v>
      </c>
      <c r="B26" s="5" t="s">
        <v>15</v>
      </c>
      <c r="C26" s="5" t="s">
        <v>12</v>
      </c>
      <c r="D26" s="5">
        <v>4405</v>
      </c>
      <c r="E26" s="5">
        <v>3200</v>
      </c>
      <c r="F26" s="5">
        <v>2420</v>
      </c>
      <c r="G26" s="5" t="s">
        <v>8</v>
      </c>
      <c r="H26" s="5" t="s">
        <v>8</v>
      </c>
      <c r="I26" s="5" t="s">
        <v>17</v>
      </c>
      <c r="J26" s="5" t="s">
        <v>13</v>
      </c>
      <c r="K26" s="5">
        <v>1050</v>
      </c>
      <c r="L26" s="5">
        <v>650</v>
      </c>
      <c r="M26" s="5">
        <v>320</v>
      </c>
      <c r="N26" s="5" t="s">
        <v>61</v>
      </c>
      <c r="O26" s="5" t="s">
        <v>47</v>
      </c>
      <c r="P26" s="5" t="s">
        <v>51</v>
      </c>
      <c r="Q26" s="5" t="s">
        <v>47</v>
      </c>
      <c r="R26" s="5" t="s">
        <v>47</v>
      </c>
      <c r="S26" s="5" t="s">
        <v>47</v>
      </c>
      <c r="T26" s="5" t="s">
        <v>47</v>
      </c>
      <c r="U26" s="5" t="s">
        <v>67</v>
      </c>
      <c r="V26" s="14">
        <f>IF(OR(INPUT!$B$2="",INPUT!$B$3="",INPUT!$B$4="",INPUT!$B$5="",INPUT!$B$6=""),"",(30*IF(TRIM(INPUT!$B$2)=TRIM(B26),1,0)+20*IF(TRIM(INPUT!$B$3)=TRIM(C26),1,0)+25*MAX(0,1-((ABS(IFERROR(VALUE(TRIM(D26)),0)-IFERROR(VALUE(TRIM(INPUT!$B$4)),0))/MAX(1,IFERROR(VALUE(TRIM(INPUT!$B$4)),0))+ABS(IFERROR(VALUE(TRIM(E26)),0)-IFERROR(VALUE(TRIM(INPUT!$B$5)),0))/MAX(1,IFERROR(VALUE(TRIM(INPUT!$B$5)),0))+ABS(IFERROR(VALUE(TRIM(F26)),0)-IFERROR(VALUE(TRIM(INPUT!$B$6)),0))/MAX(1,IFERROR(VALUE(TRIM(INPUT!$B$6)),0)))/3))+25*((IF(TRIM(INPUT!$B$7)=TRIM(G26),1,0)+IF(TRIM(INPUT!$B$8)=TRIM(H26),1,0)+IF(TRIM(INPUT!$B$9)=TRIM(I26),1,0)+IF(OR(TRIM(INPUT!$B$10)=TRIM(J26),AND(TRIM(INPUT!$B$10)="L/R",OR(TRIM(J26)="L",TRIM(J26)="R",TRIM(J26)="L/R"))),1,0))/4)))</f>
        <v>18.75</v>
      </c>
      <c r="W26" s="14">
        <f>IF(V26="","",IF(AND(TRIM(B26)=TRIM(INPUT!$B$2),TRIM(C26)=TRIM(INPUT!$B$3)),V26,V26*0.4))</f>
        <v>7.5</v>
      </c>
      <c r="X26" s="14">
        <f t="shared" si="1"/>
        <v>7.5</v>
      </c>
    </row>
    <row r="27" spans="1:24" ht="70" customHeight="1" x14ac:dyDescent="0.45">
      <c r="A27" s="5" t="str">
        <f t="shared" si="0"/>
        <v>어린이집_수원고등A2BL_ㄱ자470530002420CCXL/R1050700320</v>
      </c>
      <c r="B27" s="5" t="s">
        <v>15</v>
      </c>
      <c r="C27" s="5" t="s">
        <v>12</v>
      </c>
      <c r="D27" s="5">
        <v>4705</v>
      </c>
      <c r="E27" s="5">
        <v>3000</v>
      </c>
      <c r="F27" s="5">
        <v>2420</v>
      </c>
      <c r="G27" s="5" t="s">
        <v>8</v>
      </c>
      <c r="H27" s="5" t="s">
        <v>8</v>
      </c>
      <c r="I27" s="5" t="s">
        <v>20</v>
      </c>
      <c r="J27" s="5" t="s">
        <v>21</v>
      </c>
      <c r="K27" s="5">
        <v>1050</v>
      </c>
      <c r="L27" s="5">
        <v>700</v>
      </c>
      <c r="M27" s="5">
        <v>320</v>
      </c>
      <c r="N27" s="5" t="s">
        <v>62</v>
      </c>
      <c r="O27" s="5" t="s">
        <v>47</v>
      </c>
      <c r="P27" s="5" t="s">
        <v>51</v>
      </c>
      <c r="Q27" s="5" t="s">
        <v>47</v>
      </c>
      <c r="R27" s="5" t="s">
        <v>47</v>
      </c>
      <c r="S27" s="5" t="s">
        <v>47</v>
      </c>
      <c r="T27" s="5" t="s">
        <v>20</v>
      </c>
      <c r="U27" s="5" t="s">
        <v>67</v>
      </c>
      <c r="V27" s="14">
        <f>IF(OR(INPUT!$B$2="",INPUT!$B$3="",INPUT!$B$4="",INPUT!$B$5="",INPUT!$B$6=""),"",(30*IF(TRIM(INPUT!$B$2)=TRIM(B27),1,0)+20*IF(TRIM(INPUT!$B$3)=TRIM(C27),1,0)+25*MAX(0,1-((ABS(IFERROR(VALUE(TRIM(D27)),0)-IFERROR(VALUE(TRIM(INPUT!$B$4)),0))/MAX(1,IFERROR(VALUE(TRIM(INPUT!$B$4)),0))+ABS(IFERROR(VALUE(TRIM(E27)),0)-IFERROR(VALUE(TRIM(INPUT!$B$5)),0))/MAX(1,IFERROR(VALUE(TRIM(INPUT!$B$5)),0))+ABS(IFERROR(VALUE(TRIM(F27)),0)-IFERROR(VALUE(TRIM(INPUT!$B$6)),0))/MAX(1,IFERROR(VALUE(TRIM(INPUT!$B$6)),0)))/3))+25*((IF(TRIM(INPUT!$B$7)=TRIM(G27),1,0)+IF(TRIM(INPUT!$B$8)=TRIM(H27),1,0)+IF(TRIM(INPUT!$B$9)=TRIM(I27),1,0)+IF(OR(TRIM(INPUT!$B$10)=TRIM(J27),AND(TRIM(INPUT!$B$10)="L/R",OR(TRIM(J27)="L",TRIM(J27)="R",TRIM(J27)="L/R"))),1,0))/4)))</f>
        <v>18.75</v>
      </c>
      <c r="W27" s="14">
        <f>IF(V27="","",IF(AND(TRIM(B27)=TRIM(INPUT!$B$2),TRIM(C27)=TRIM(INPUT!$B$3)),V27,V27*0.4))</f>
        <v>7.5</v>
      </c>
      <c r="X27" s="14">
        <f t="shared" si="1"/>
        <v>7.5</v>
      </c>
    </row>
    <row r="28" spans="1:24" ht="70" customHeight="1" x14ac:dyDescent="0.45">
      <c r="A28" s="5" t="str">
        <f t="shared" si="0"/>
        <v>어린이집_에코델타시티_일자47207002420CCRR1100700320</v>
      </c>
      <c r="B28" s="5" t="s">
        <v>15</v>
      </c>
      <c r="C28" s="5" t="s">
        <v>7</v>
      </c>
      <c r="D28" s="5">
        <v>4720</v>
      </c>
      <c r="E28" s="5">
        <v>700</v>
      </c>
      <c r="F28" s="5">
        <v>2420</v>
      </c>
      <c r="G28" s="5" t="s">
        <v>8</v>
      </c>
      <c r="H28" s="5" t="s">
        <v>8</v>
      </c>
      <c r="I28" s="5" t="s">
        <v>17</v>
      </c>
      <c r="J28" s="5" t="s">
        <v>17</v>
      </c>
      <c r="K28" s="5">
        <v>1100</v>
      </c>
      <c r="L28" s="5">
        <v>700</v>
      </c>
      <c r="M28" s="5">
        <v>320</v>
      </c>
      <c r="N28" s="5" t="s">
        <v>53</v>
      </c>
      <c r="O28" s="5" t="s">
        <v>47</v>
      </c>
      <c r="P28" s="5" t="s">
        <v>48</v>
      </c>
      <c r="Q28" s="5" t="s">
        <v>47</v>
      </c>
      <c r="R28" s="5" t="s">
        <v>47</v>
      </c>
      <c r="S28" s="5" t="s">
        <v>47</v>
      </c>
      <c r="T28" s="5" t="s">
        <v>47</v>
      </c>
      <c r="U28" s="5" t="s">
        <v>55</v>
      </c>
      <c r="V28" s="14">
        <f>IF(OR(INPUT!$B$2="",INPUT!$B$3="",INPUT!$B$4="",INPUT!$B$5="",INPUT!$B$6=""),"",(30*IF(TRIM(INPUT!$B$2)=TRIM(B28),1,0)+20*IF(TRIM(INPUT!$B$3)=TRIM(C28),1,0)+25*MAX(0,1-((ABS(IFERROR(VALUE(TRIM(D28)),0)-IFERROR(VALUE(TRIM(INPUT!$B$4)),0))/MAX(1,IFERROR(VALUE(TRIM(INPUT!$B$4)),0))+ABS(IFERROR(VALUE(TRIM(E28)),0)-IFERROR(VALUE(TRIM(INPUT!$B$5)),0))/MAX(1,IFERROR(VALUE(TRIM(INPUT!$B$5)),0))+ABS(IFERROR(VALUE(TRIM(F28)),0)-IFERROR(VALUE(TRIM(INPUT!$B$6)),0))/MAX(1,IFERROR(VALUE(TRIM(INPUT!$B$6)),0)))/3))+25*((IF(TRIM(INPUT!$B$7)=TRIM(G28),1,0)+IF(TRIM(INPUT!$B$8)=TRIM(H28),1,0)+IF(TRIM(INPUT!$B$9)=TRIM(I28),1,0)+IF(OR(TRIM(INPUT!$B$10)=TRIM(J28),AND(TRIM(INPUT!$B$10)="L/R",OR(TRIM(J28)="L",TRIM(J28)="R",TRIM(J28)="L/R"))),1,0))/4)))</f>
        <v>41.97644927536232</v>
      </c>
      <c r="W28" s="14">
        <f>IF(V28="","",IF(AND(TRIM(B28)=TRIM(INPUT!$B$2),TRIM(C28)=TRIM(INPUT!$B$3)),V28,V28*0.4))</f>
        <v>16.790579710144929</v>
      </c>
      <c r="X28" s="14">
        <f t="shared" si="1"/>
        <v>16.790579710144929</v>
      </c>
    </row>
    <row r="29" spans="1:24" ht="70" customHeight="1" x14ac:dyDescent="0.45">
      <c r="A29" s="5" t="str">
        <f t="shared" si="0"/>
        <v>어린이집_음성 푸르지오_ㄱ자278046202420CCRR1050700320</v>
      </c>
      <c r="B29" s="5" t="s">
        <v>15</v>
      </c>
      <c r="C29" s="5" t="s">
        <v>12</v>
      </c>
      <c r="D29" s="5">
        <v>2780</v>
      </c>
      <c r="E29" s="5">
        <v>4620</v>
      </c>
      <c r="F29" s="5">
        <v>2420</v>
      </c>
      <c r="G29" s="5" t="s">
        <v>8</v>
      </c>
      <c r="H29" s="5" t="s">
        <v>8</v>
      </c>
      <c r="I29" s="5" t="s">
        <v>17</v>
      </c>
      <c r="J29" s="5" t="s">
        <v>17</v>
      </c>
      <c r="K29" s="5">
        <v>1050</v>
      </c>
      <c r="L29" s="5">
        <v>700</v>
      </c>
      <c r="M29" s="5">
        <v>320</v>
      </c>
      <c r="N29" s="5" t="s">
        <v>46</v>
      </c>
      <c r="O29" s="5" t="s">
        <v>47</v>
      </c>
      <c r="P29" s="5" t="s">
        <v>51</v>
      </c>
      <c r="Q29" s="5" t="s">
        <v>47</v>
      </c>
      <c r="R29" s="5" t="s">
        <v>47</v>
      </c>
      <c r="S29" s="5" t="s">
        <v>47</v>
      </c>
      <c r="T29" s="5" t="s">
        <v>20</v>
      </c>
      <c r="U29" s="5" t="s">
        <v>67</v>
      </c>
      <c r="V29" s="14">
        <f>IF(OR(INPUT!$B$2="",INPUT!$B$3="",INPUT!$B$4="",INPUT!$B$5="",INPUT!$B$6=""),"",(30*IF(TRIM(INPUT!$B$2)=TRIM(B29),1,0)+20*IF(TRIM(INPUT!$B$3)=TRIM(C29),1,0)+25*MAX(0,1-((ABS(IFERROR(VALUE(TRIM(D29)),0)-IFERROR(VALUE(TRIM(INPUT!$B$4)),0))/MAX(1,IFERROR(VALUE(TRIM(INPUT!$B$4)),0))+ABS(IFERROR(VALUE(TRIM(E29)),0)-IFERROR(VALUE(TRIM(INPUT!$B$5)),0))/MAX(1,IFERROR(VALUE(TRIM(INPUT!$B$5)),0))+ABS(IFERROR(VALUE(TRIM(F29)),0)-IFERROR(VALUE(TRIM(INPUT!$B$6)),0))/MAX(1,IFERROR(VALUE(TRIM(INPUT!$B$6)),0)))/3))+25*((IF(TRIM(INPUT!$B$7)=TRIM(G29),1,0)+IF(TRIM(INPUT!$B$8)=TRIM(H29),1,0)+IF(TRIM(INPUT!$B$9)=TRIM(I29),1,0)+IF(OR(TRIM(INPUT!$B$10)=TRIM(J29),AND(TRIM(INPUT!$B$10)="L/R",OR(TRIM(J29)="L",TRIM(J29)="R",TRIM(J29)="L/R"))),1,0))/4)))</f>
        <v>18.75</v>
      </c>
      <c r="W29" s="14">
        <f>IF(V29="","",IF(AND(TRIM(B29)=TRIM(INPUT!$B$2),TRIM(C29)=TRIM(INPUT!$B$3)),V29,V29*0.4))</f>
        <v>7.5</v>
      </c>
      <c r="X29" s="14">
        <f t="shared" si="1"/>
        <v>7.5</v>
      </c>
    </row>
    <row r="30" spans="1:24" ht="70" customHeight="1" x14ac:dyDescent="0.45">
      <c r="A30" s="5" t="str">
        <f t="shared" si="0"/>
        <v>어린이집_일산 푸르지오_ㄱ자306028002290CCRR1130710320</v>
      </c>
      <c r="B30" s="5" t="s">
        <v>15</v>
      </c>
      <c r="C30" s="5" t="s">
        <v>12</v>
      </c>
      <c r="D30" s="5">
        <v>3060</v>
      </c>
      <c r="E30" s="5">
        <v>2800</v>
      </c>
      <c r="F30" s="5">
        <v>2290</v>
      </c>
      <c r="G30" s="5" t="s">
        <v>8</v>
      </c>
      <c r="H30" s="5" t="s">
        <v>8</v>
      </c>
      <c r="I30" s="5" t="s">
        <v>17</v>
      </c>
      <c r="J30" s="5" t="s">
        <v>17</v>
      </c>
      <c r="K30" s="5">
        <v>1130</v>
      </c>
      <c r="L30" s="5">
        <v>710</v>
      </c>
      <c r="M30" s="5">
        <v>320</v>
      </c>
      <c r="N30" s="5" t="s">
        <v>64</v>
      </c>
      <c r="O30" s="5" t="s">
        <v>47</v>
      </c>
      <c r="P30" s="5" t="s">
        <v>51</v>
      </c>
      <c r="Q30" s="5" t="s">
        <v>47</v>
      </c>
      <c r="R30" s="5" t="s">
        <v>47</v>
      </c>
      <c r="S30" s="5" t="s">
        <v>20</v>
      </c>
      <c r="T30" s="5" t="s">
        <v>20</v>
      </c>
      <c r="U30" s="5" t="s">
        <v>65</v>
      </c>
      <c r="V30" s="14">
        <f>IF(OR(INPUT!$B$2="",INPUT!$B$3="",INPUT!$B$4="",INPUT!$B$5="",INPUT!$B$6=""),"",(30*IF(TRIM(INPUT!$B$2)=TRIM(B30),1,0)+20*IF(TRIM(INPUT!$B$3)=TRIM(C30),1,0)+25*MAX(0,1-((ABS(IFERROR(VALUE(TRIM(D30)),0)-IFERROR(VALUE(TRIM(INPUT!$B$4)),0))/MAX(1,IFERROR(VALUE(TRIM(INPUT!$B$4)),0))+ABS(IFERROR(VALUE(TRIM(E30)),0)-IFERROR(VALUE(TRIM(INPUT!$B$5)),0))/MAX(1,IFERROR(VALUE(TRIM(INPUT!$B$5)),0))+ABS(IFERROR(VALUE(TRIM(F30)),0)-IFERROR(VALUE(TRIM(INPUT!$B$6)),0))/MAX(1,IFERROR(VALUE(TRIM(INPUT!$B$6)),0)))/3))+25*((IF(TRIM(INPUT!$B$7)=TRIM(G30),1,0)+IF(TRIM(INPUT!$B$8)=TRIM(H30),1,0)+IF(TRIM(INPUT!$B$9)=TRIM(I30),1,0)+IF(OR(TRIM(INPUT!$B$10)=TRIM(J30),AND(TRIM(INPUT!$B$10)="L/R",OR(TRIM(J30)="L",TRIM(J30)="R",TRIM(J30)="L/R"))),1,0))/4)))</f>
        <v>18.75</v>
      </c>
      <c r="W30" s="14">
        <f>IF(V30="","",IF(AND(TRIM(B30)=TRIM(INPUT!$B$2),TRIM(C30)=TRIM(INPUT!$B$3)),V30,V30*0.4))</f>
        <v>7.5</v>
      </c>
      <c r="X30" s="14">
        <f t="shared" si="1"/>
        <v>7.5</v>
      </c>
    </row>
    <row r="31" spans="1:24" ht="70" customHeight="1" x14ac:dyDescent="0.45">
      <c r="A31" s="5" t="str">
        <f t="shared" si="0"/>
        <v>어린이집_과천 어울림라비엔오_ㄱ자426010502350CCXR1050710320</v>
      </c>
      <c r="B31" s="5" t="s">
        <v>15</v>
      </c>
      <c r="C31" s="5" t="s">
        <v>12</v>
      </c>
      <c r="D31" s="5">
        <v>4260</v>
      </c>
      <c r="E31" s="5">
        <v>1050</v>
      </c>
      <c r="F31" s="5">
        <v>2350</v>
      </c>
      <c r="G31" s="5" t="s">
        <v>8</v>
      </c>
      <c r="H31" s="5" t="s">
        <v>8</v>
      </c>
      <c r="I31" s="5" t="s">
        <v>20</v>
      </c>
      <c r="J31" s="5" t="s">
        <v>17</v>
      </c>
      <c r="K31" s="5">
        <v>1050</v>
      </c>
      <c r="L31" s="5">
        <v>710</v>
      </c>
      <c r="M31" s="5">
        <v>320</v>
      </c>
      <c r="N31" s="5" t="s">
        <v>68</v>
      </c>
      <c r="O31" s="5" t="s">
        <v>47</v>
      </c>
      <c r="P31" s="5" t="s">
        <v>51</v>
      </c>
      <c r="Q31" s="5" t="s">
        <v>47</v>
      </c>
      <c r="R31" s="5" t="s">
        <v>47</v>
      </c>
      <c r="S31" s="5" t="s">
        <v>20</v>
      </c>
      <c r="T31" s="5" t="s">
        <v>20</v>
      </c>
      <c r="U31" s="5" t="s">
        <v>55</v>
      </c>
      <c r="V31" s="14">
        <f>IF(OR(INPUT!$B$2="",INPUT!$B$3="",INPUT!$B$4="",INPUT!$B$5="",INPUT!$B$6=""),"",(30*IF(TRIM(INPUT!$B$2)=TRIM(B31),1,0)+20*IF(TRIM(INPUT!$B$3)=TRIM(C31),1,0)+25*MAX(0,1-((ABS(IFERROR(VALUE(TRIM(D31)),0)-IFERROR(VALUE(TRIM(INPUT!$B$4)),0))/MAX(1,IFERROR(VALUE(TRIM(INPUT!$B$4)),0))+ABS(IFERROR(VALUE(TRIM(E31)),0)-IFERROR(VALUE(TRIM(INPUT!$B$5)),0))/MAX(1,IFERROR(VALUE(TRIM(INPUT!$B$5)),0))+ABS(IFERROR(VALUE(TRIM(F31)),0)-IFERROR(VALUE(TRIM(INPUT!$B$6)),0))/MAX(1,IFERROR(VALUE(TRIM(INPUT!$B$6)),0)))/3))+25*((IF(TRIM(INPUT!$B$7)=TRIM(G31),1,0)+IF(TRIM(INPUT!$B$8)=TRIM(H31),1,0)+IF(TRIM(INPUT!$B$9)=TRIM(I31),1,0)+IF(OR(TRIM(INPUT!$B$10)=TRIM(J31),AND(TRIM(INPUT!$B$10)="L/R",OR(TRIM(J31)="L",TRIM(J31)="R",TRIM(J31)="L/R"))),1,0))/4)))</f>
        <v>19.756340579710145</v>
      </c>
      <c r="W31" s="14">
        <f>IF(V31="","",IF(AND(TRIM(B31)=TRIM(INPUT!$B$2),TRIM(C31)=TRIM(INPUT!$B$3)),V31,V31*0.4))</f>
        <v>7.9025362318840582</v>
      </c>
      <c r="X31" s="14">
        <f t="shared" si="1"/>
        <v>7.9025362318840582</v>
      </c>
    </row>
    <row r="32" spans="1:24" ht="70" customHeight="1" x14ac:dyDescent="0.45">
      <c r="A32" s="5" t="str">
        <f t="shared" si="0"/>
        <v>용역원실_과천 지식정보타운_일자13956002625XCXC900590320</v>
      </c>
      <c r="B32" s="5" t="s">
        <v>19</v>
      </c>
      <c r="C32" s="5" t="s">
        <v>7</v>
      </c>
      <c r="D32" s="5">
        <v>1395</v>
      </c>
      <c r="E32" s="5">
        <v>600</v>
      </c>
      <c r="F32" s="5">
        <v>2625</v>
      </c>
      <c r="G32" s="5" t="s">
        <v>20</v>
      </c>
      <c r="H32" s="5" t="s">
        <v>8</v>
      </c>
      <c r="I32" s="5" t="s">
        <v>20</v>
      </c>
      <c r="J32" s="5" t="s">
        <v>8</v>
      </c>
      <c r="K32" s="5">
        <v>900</v>
      </c>
      <c r="L32" s="5">
        <v>590</v>
      </c>
      <c r="M32" s="5">
        <v>320</v>
      </c>
      <c r="N32" s="5" t="s">
        <v>66</v>
      </c>
      <c r="O32" s="5" t="s">
        <v>20</v>
      </c>
      <c r="P32" s="5" t="s">
        <v>58</v>
      </c>
      <c r="Q32" s="5" t="s">
        <v>20</v>
      </c>
      <c r="R32" s="5" t="s">
        <v>20</v>
      </c>
      <c r="S32" s="5" t="s">
        <v>20</v>
      </c>
      <c r="T32" s="5" t="s">
        <v>20</v>
      </c>
      <c r="U32" s="5" t="s">
        <v>49</v>
      </c>
      <c r="V32" s="14">
        <f>IF(OR(INPUT!$B$2="",INPUT!$B$3="",INPUT!$B$4="",INPUT!$B$5="",INPUT!$B$6=""),"",(30*IF(TRIM(INPUT!$B$2)=TRIM(B32),1,0)+20*IF(TRIM(INPUT!$B$3)=TRIM(C32),1,0)+25*MAX(0,1-((ABS(IFERROR(VALUE(TRIM(D32)),0)-IFERROR(VALUE(TRIM(INPUT!$B$4)),0))/MAX(1,IFERROR(VALUE(TRIM(INPUT!$B$4)),0))+ABS(IFERROR(VALUE(TRIM(E32)),0)-IFERROR(VALUE(TRIM(INPUT!$B$5)),0))/MAX(1,IFERROR(VALUE(TRIM(INPUT!$B$5)),0))+ABS(IFERROR(VALUE(TRIM(F32)),0)-IFERROR(VALUE(TRIM(INPUT!$B$6)),0))/MAX(1,IFERROR(VALUE(TRIM(INPUT!$B$6)),0)))/3))+25*((IF(TRIM(INPUT!$B$7)=TRIM(G32),1,0)+IF(TRIM(INPUT!$B$8)=TRIM(H32),1,0)+IF(TRIM(INPUT!$B$9)=TRIM(I32),1,0)+IF(OR(TRIM(INPUT!$B$10)=TRIM(J32),AND(TRIM(INPUT!$B$10)="L/R",OR(TRIM(J32)="L",TRIM(J32)="R",TRIM(J32)="L/R"))),1,0))/4)))</f>
        <v>26.694293478260871</v>
      </c>
      <c r="W32" s="14">
        <f>IF(V32="","",IF(AND(TRIM(B32)=TRIM(INPUT!$B$2),TRIM(C32)=TRIM(INPUT!$B$3)),V32,V32*0.4))</f>
        <v>10.677717391304348</v>
      </c>
      <c r="X32" s="14">
        <f t="shared" si="1"/>
        <v>10.677717391304348</v>
      </c>
    </row>
    <row r="33" spans="1:24" ht="70" customHeight="1" x14ac:dyDescent="0.45">
      <c r="A33" s="5" t="str">
        <f t="shared" si="0"/>
        <v>탕비실_김해 2차_일자3150600980XCXC900590320</v>
      </c>
      <c r="B33" s="5" t="s">
        <v>23</v>
      </c>
      <c r="C33" s="5" t="s">
        <v>7</v>
      </c>
      <c r="D33" s="5">
        <v>3150</v>
      </c>
      <c r="E33" s="5">
        <v>600</v>
      </c>
      <c r="F33" s="5">
        <v>980</v>
      </c>
      <c r="G33" s="5" t="s">
        <v>20</v>
      </c>
      <c r="H33" s="5" t="s">
        <v>8</v>
      </c>
      <c r="I33" s="5" t="s">
        <v>20</v>
      </c>
      <c r="J33" s="5" t="s">
        <v>8</v>
      </c>
      <c r="K33" s="5">
        <v>900</v>
      </c>
      <c r="L33" s="5">
        <v>590</v>
      </c>
      <c r="M33" s="5">
        <v>320</v>
      </c>
      <c r="N33" s="5" t="s">
        <v>57</v>
      </c>
      <c r="O33" s="5" t="s">
        <v>47</v>
      </c>
      <c r="P33" s="5" t="s">
        <v>58</v>
      </c>
      <c r="Q33" s="5" t="s">
        <v>20</v>
      </c>
      <c r="R33" s="5" t="s">
        <v>20</v>
      </c>
      <c r="S33" s="5" t="s">
        <v>20</v>
      </c>
      <c r="T33" s="5" t="s">
        <v>20</v>
      </c>
      <c r="U33" s="5" t="s">
        <v>49</v>
      </c>
      <c r="V33" s="14">
        <f>IF(OR(INPUT!$B$2="",INPUT!$B$3="",INPUT!$B$4="",INPUT!$B$5="",INPUT!$B$6=""),"",(30*IF(TRIM(INPUT!$B$2)=TRIM(B33),1,0)+20*IF(TRIM(INPUT!$B$3)=TRIM(C33),1,0)+25*MAX(0,1-((ABS(IFERROR(VALUE(TRIM(D33)),0)-IFERROR(VALUE(TRIM(INPUT!$B$4)),0))/MAX(1,IFERROR(VALUE(TRIM(INPUT!$B$4)),0))+ABS(IFERROR(VALUE(TRIM(E33)),0)-IFERROR(VALUE(TRIM(INPUT!$B$5)),0))/MAX(1,IFERROR(VALUE(TRIM(INPUT!$B$5)),0))+ABS(IFERROR(VALUE(TRIM(F33)),0)-IFERROR(VALUE(TRIM(INPUT!$B$6)),0))/MAX(1,IFERROR(VALUE(TRIM(INPUT!$B$6)),0)))/3))+25*((IF(TRIM(INPUT!$B$7)=TRIM(G33),1,0)+IF(TRIM(INPUT!$B$8)=TRIM(H33),1,0)+IF(TRIM(INPUT!$B$9)=TRIM(I33),1,0)+IF(OR(TRIM(INPUT!$B$10)=TRIM(J33),AND(TRIM(INPUT!$B$10)="L/R",OR(TRIM(J33)="L",TRIM(J33)="R",TRIM(J33)="L/R"))),1,0))/4)))</f>
        <v>47.871376811594203</v>
      </c>
      <c r="W33" s="14">
        <f>IF(V33="","",IF(AND(TRIM(B33)=TRIM(INPUT!$B$2),TRIM(C33)=TRIM(INPUT!$B$3)),V33,V33*0.4))</f>
        <v>19.148550724637683</v>
      </c>
      <c r="X33" s="14">
        <f t="shared" si="1"/>
        <v>19.148550724637683</v>
      </c>
    </row>
    <row r="34" spans="1:24" ht="70" customHeight="1" x14ac:dyDescent="0.45">
      <c r="A34" s="5" t="str">
        <f t="shared" si="0"/>
        <v>탕비실_김해구산 푸르지오_일자1600600800XCXC850590320</v>
      </c>
      <c r="B34" s="5" t="s">
        <v>23</v>
      </c>
      <c r="C34" s="5" t="s">
        <v>7</v>
      </c>
      <c r="D34" s="5">
        <v>1600</v>
      </c>
      <c r="E34" s="5">
        <v>600</v>
      </c>
      <c r="F34" s="5">
        <v>800</v>
      </c>
      <c r="G34" s="5" t="s">
        <v>20</v>
      </c>
      <c r="H34" s="5" t="s">
        <v>8</v>
      </c>
      <c r="I34" s="5" t="s">
        <v>20</v>
      </c>
      <c r="J34" s="5" t="s">
        <v>8</v>
      </c>
      <c r="K34" s="5">
        <v>850</v>
      </c>
      <c r="L34" s="5">
        <v>590</v>
      </c>
      <c r="M34" s="5">
        <v>320</v>
      </c>
      <c r="N34" s="5" t="s">
        <v>50</v>
      </c>
      <c r="O34" s="5" t="s">
        <v>47</v>
      </c>
      <c r="P34" s="5" t="s">
        <v>48</v>
      </c>
      <c r="Q34" s="5" t="s">
        <v>20</v>
      </c>
      <c r="R34" s="5" t="s">
        <v>20</v>
      </c>
      <c r="S34" s="5" t="s">
        <v>20</v>
      </c>
      <c r="T34" s="5" t="s">
        <v>20</v>
      </c>
      <c r="U34" s="5" t="s">
        <v>49</v>
      </c>
      <c r="V34" s="14">
        <f>IF(OR(INPUT!$B$2="",INPUT!$B$3="",INPUT!$B$4="",INPUT!$B$5="",INPUT!$B$6=""),"",(30*IF(TRIM(INPUT!$B$2)=TRIM(B34),1,0)+20*IF(TRIM(INPUT!$B$3)=TRIM(C34),1,0)+25*MAX(0,1-((ABS(IFERROR(VALUE(TRIM(D34)),0)-IFERROR(VALUE(TRIM(INPUT!$B$4)),0))/MAX(1,IFERROR(VALUE(TRIM(INPUT!$B$4)),0))+ABS(IFERROR(VALUE(TRIM(E34)),0)-IFERROR(VALUE(TRIM(INPUT!$B$5)),0))/MAX(1,IFERROR(VALUE(TRIM(INPUT!$B$5)),0))+ABS(IFERROR(VALUE(TRIM(F34)),0)-IFERROR(VALUE(TRIM(INPUT!$B$6)),0))/MAX(1,IFERROR(VALUE(TRIM(INPUT!$B$6)),0)))/3))+25*((IF(TRIM(INPUT!$B$7)=TRIM(G34),1,0)+IF(TRIM(INPUT!$B$8)=TRIM(H34),1,0)+IF(TRIM(INPUT!$B$9)=TRIM(I34),1,0)+IF(OR(TRIM(INPUT!$B$10)=TRIM(J34),AND(TRIM(INPUT!$B$10)="L/R",OR(TRIM(J34)="L",TRIM(J34)="R",TRIM(J34)="L/R"))),1,0))/4)))</f>
        <v>46.274154589371982</v>
      </c>
      <c r="W34" s="14">
        <f>IF(V34="","",IF(AND(TRIM(B34)=TRIM(INPUT!$B$2),TRIM(C34)=TRIM(INPUT!$B$3)),V34,V34*0.4))</f>
        <v>18.509661835748794</v>
      </c>
      <c r="X34" s="14">
        <f t="shared" si="1"/>
        <v>18.509661835748794</v>
      </c>
    </row>
    <row r="35" spans="1:24" ht="70" customHeight="1" x14ac:dyDescent="0.45">
      <c r="A35" s="5" t="str">
        <f t="shared" si="0"/>
        <v>탕비실_다산 진건_일자17506002420XCXC800590320</v>
      </c>
      <c r="B35" s="5" t="s">
        <v>23</v>
      </c>
      <c r="C35" s="5" t="s">
        <v>7</v>
      </c>
      <c r="D35" s="5">
        <v>1750</v>
      </c>
      <c r="E35" s="5">
        <v>600</v>
      </c>
      <c r="F35" s="5">
        <v>2420</v>
      </c>
      <c r="G35" s="5" t="s">
        <v>20</v>
      </c>
      <c r="H35" s="5" t="s">
        <v>8</v>
      </c>
      <c r="I35" s="5" t="s">
        <v>20</v>
      </c>
      <c r="J35" s="5" t="s">
        <v>8</v>
      </c>
      <c r="K35" s="5">
        <v>800</v>
      </c>
      <c r="L35" s="5">
        <v>590</v>
      </c>
      <c r="M35" s="5">
        <v>320</v>
      </c>
      <c r="N35" s="5" t="s">
        <v>52</v>
      </c>
      <c r="O35" s="5" t="s">
        <v>47</v>
      </c>
      <c r="P35" s="5" t="s">
        <v>58</v>
      </c>
      <c r="Q35" s="5" t="s">
        <v>20</v>
      </c>
      <c r="R35" s="5" t="s">
        <v>20</v>
      </c>
      <c r="S35" s="5" t="s">
        <v>20</v>
      </c>
      <c r="T35" s="5" t="s">
        <v>20</v>
      </c>
      <c r="U35" s="5" t="s">
        <v>49</v>
      </c>
      <c r="V35" s="14">
        <f>IF(OR(INPUT!$B$2="",INPUT!$B$3="",INPUT!$B$4="",INPUT!$B$5="",INPUT!$B$6=""),"",(30*IF(TRIM(INPUT!$B$2)=TRIM(B35),1,0)+20*IF(TRIM(INPUT!$B$3)=TRIM(C35),1,0)+25*MAX(0,1-((ABS(IFERROR(VALUE(TRIM(D35)),0)-IFERROR(VALUE(TRIM(INPUT!$B$4)),0))/MAX(1,IFERROR(VALUE(TRIM(INPUT!$B$4)),0))+ABS(IFERROR(VALUE(TRIM(E35)),0)-IFERROR(VALUE(TRIM(INPUT!$B$5)),0))/MAX(1,IFERROR(VALUE(TRIM(INPUT!$B$5)),0))+ABS(IFERROR(VALUE(TRIM(F35)),0)-IFERROR(VALUE(TRIM(INPUT!$B$6)),0))/MAX(1,IFERROR(VALUE(TRIM(INPUT!$B$6)),0)))/3))+25*((IF(TRIM(INPUT!$B$7)=TRIM(G35),1,0)+IF(TRIM(INPUT!$B$8)=TRIM(H35),1,0)+IF(TRIM(INPUT!$B$9)=TRIM(I35),1,0)+IF(OR(TRIM(INPUT!$B$10)=TRIM(J35),AND(TRIM(INPUT!$B$10)="L/R",OR(TRIM(J35)="L",TRIM(J35)="R",TRIM(J35)="L/R"))),1,0))/4)))</f>
        <v>29.81582125603865</v>
      </c>
      <c r="W35" s="14">
        <f>IF(V35="","",IF(AND(TRIM(B35)=TRIM(INPUT!$B$2),TRIM(C35)=TRIM(INPUT!$B$3)),V35,V35*0.4))</f>
        <v>11.92632850241546</v>
      </c>
      <c r="X35" s="14">
        <f t="shared" si="1"/>
        <v>11.92632850241546</v>
      </c>
    </row>
    <row r="36" spans="1:24" ht="70" customHeight="1" x14ac:dyDescent="0.45">
      <c r="A36" s="5" t="str">
        <f t="shared" si="0"/>
        <v>탕비실_상인 푸르지오_일자14906002300XCXC850590320</v>
      </c>
      <c r="B36" s="5" t="s">
        <v>23</v>
      </c>
      <c r="C36" s="5" t="s">
        <v>7</v>
      </c>
      <c r="D36" s="5">
        <v>1490</v>
      </c>
      <c r="E36" s="5">
        <v>600</v>
      </c>
      <c r="F36" s="5">
        <v>2300</v>
      </c>
      <c r="G36" s="5" t="s">
        <v>20</v>
      </c>
      <c r="H36" s="5" t="s">
        <v>8</v>
      </c>
      <c r="I36" s="5" t="s">
        <v>20</v>
      </c>
      <c r="J36" s="5" t="s">
        <v>8</v>
      </c>
      <c r="K36" s="5">
        <v>850</v>
      </c>
      <c r="L36" s="5">
        <v>590</v>
      </c>
      <c r="M36" s="5">
        <v>320</v>
      </c>
      <c r="N36" s="5" t="s">
        <v>60</v>
      </c>
      <c r="O36" s="5" t="s">
        <v>20</v>
      </c>
      <c r="P36" s="5" t="s">
        <v>48</v>
      </c>
      <c r="Q36" s="5" t="s">
        <v>20</v>
      </c>
      <c r="R36" s="5" t="s">
        <v>20</v>
      </c>
      <c r="S36" s="5" t="s">
        <v>20</v>
      </c>
      <c r="T36" s="5" t="s">
        <v>20</v>
      </c>
      <c r="U36" s="5" t="s">
        <v>49</v>
      </c>
      <c r="V36" s="14">
        <f>IF(OR(INPUT!$B$2="",INPUT!$B$3="",INPUT!$B$4="",INPUT!$B$5="",INPUT!$B$6=""),"",(30*IF(TRIM(INPUT!$B$2)=TRIM(B36),1,0)+20*IF(TRIM(INPUT!$B$3)=TRIM(C36),1,0)+25*MAX(0,1-((ABS(IFERROR(VALUE(TRIM(D36)),0)-IFERROR(VALUE(TRIM(INPUT!$B$4)),0))/MAX(1,IFERROR(VALUE(TRIM(INPUT!$B$4)),0))+ABS(IFERROR(VALUE(TRIM(E36)),0)-IFERROR(VALUE(TRIM(INPUT!$B$5)),0))/MAX(1,IFERROR(VALUE(TRIM(INPUT!$B$5)),0))+ABS(IFERROR(VALUE(TRIM(F36)),0)-IFERROR(VALUE(TRIM(INPUT!$B$6)),0))/MAX(1,IFERROR(VALUE(TRIM(INPUT!$B$6)),0)))/3))+25*((IF(TRIM(INPUT!$B$7)=TRIM(G36),1,0)+IF(TRIM(INPUT!$B$8)=TRIM(H36),1,0)+IF(TRIM(INPUT!$B$9)=TRIM(I36),1,0)+IF(OR(TRIM(INPUT!$B$10)=TRIM(J36),AND(TRIM(INPUT!$B$10)="L/R",OR(TRIM(J36)="L",TRIM(J36)="R",TRIM(J36)="L/R"))),1,0))/4)))</f>
        <v>30.343599033816425</v>
      </c>
      <c r="W36" s="14">
        <f>IF(V36="","",IF(AND(TRIM(B36)=TRIM(INPUT!$B$2),TRIM(C36)=TRIM(INPUT!$B$3)),V36,V36*0.4))</f>
        <v>12.137439613526571</v>
      </c>
      <c r="X36" s="14">
        <f t="shared" si="1"/>
        <v>12.137439613526571</v>
      </c>
    </row>
    <row r="37" spans="1:24" ht="70" customHeight="1" x14ac:dyDescent="0.45">
      <c r="A37" s="5" t="str">
        <f t="shared" si="0"/>
        <v>탕비실_수원 푸르지오_일자16006002420XLXC840590320</v>
      </c>
      <c r="B37" s="5" t="s">
        <v>23</v>
      </c>
      <c r="C37" s="5" t="s">
        <v>7</v>
      </c>
      <c r="D37" s="5">
        <v>1600</v>
      </c>
      <c r="E37" s="5">
        <v>600</v>
      </c>
      <c r="F37" s="5">
        <v>2420</v>
      </c>
      <c r="G37" s="5" t="s">
        <v>20</v>
      </c>
      <c r="H37" s="5" t="s">
        <v>13</v>
      </c>
      <c r="I37" s="5" t="s">
        <v>20</v>
      </c>
      <c r="J37" s="5" t="s">
        <v>8</v>
      </c>
      <c r="K37" s="5">
        <v>840</v>
      </c>
      <c r="L37" s="5">
        <v>590</v>
      </c>
      <c r="M37" s="5">
        <v>320</v>
      </c>
      <c r="N37" s="5" t="s">
        <v>63</v>
      </c>
      <c r="O37" s="5" t="s">
        <v>47</v>
      </c>
      <c r="P37" s="5" t="s">
        <v>58</v>
      </c>
      <c r="Q37" s="5" t="s">
        <v>20</v>
      </c>
      <c r="R37" s="5" t="s">
        <v>20</v>
      </c>
      <c r="S37" s="5" t="s">
        <v>20</v>
      </c>
      <c r="T37" s="5" t="s">
        <v>20</v>
      </c>
      <c r="U37" s="5" t="s">
        <v>49</v>
      </c>
      <c r="V37" s="14">
        <f>IF(OR(INPUT!$B$2="",INPUT!$B$3="",INPUT!$B$4="",INPUT!$B$5="",INPUT!$B$6=""),"",(30*IF(TRIM(INPUT!$B$2)=TRIM(B37),1,0)+20*IF(TRIM(INPUT!$B$3)=TRIM(C37),1,0)+25*MAX(0,1-((ABS(IFERROR(VALUE(TRIM(D37)),0)-IFERROR(VALUE(TRIM(INPUT!$B$4)),0))/MAX(1,IFERROR(VALUE(TRIM(INPUT!$B$4)),0))+ABS(IFERROR(VALUE(TRIM(E37)),0)-IFERROR(VALUE(TRIM(INPUT!$B$5)),0))/MAX(1,IFERROR(VALUE(TRIM(INPUT!$B$5)),0))+ABS(IFERROR(VALUE(TRIM(F37)),0)-IFERROR(VALUE(TRIM(INPUT!$B$6)),0))/MAX(1,IFERROR(VALUE(TRIM(INPUT!$B$6)),0)))/3))+25*((IF(TRIM(INPUT!$B$7)=TRIM(G37),1,0)+IF(TRIM(INPUT!$B$8)=TRIM(H37),1,0)+IF(TRIM(INPUT!$B$9)=TRIM(I37),1,0)+IF(OR(TRIM(INPUT!$B$10)=TRIM(J37),AND(TRIM(INPUT!$B$10)="L/R",OR(TRIM(J37)="L",TRIM(J37)="R",TRIM(J37)="L/R"))),1,0))/4)))</f>
        <v>23.149154589371982</v>
      </c>
      <c r="W37" s="14">
        <f>IF(V37="","",IF(AND(TRIM(B37)=TRIM(INPUT!$B$2),TRIM(C37)=TRIM(INPUT!$B$3)),V37,V37*0.4))</f>
        <v>9.2596618357487923</v>
      </c>
      <c r="X37" s="14">
        <f t="shared" si="1"/>
        <v>9.2596618357487923</v>
      </c>
    </row>
    <row r="38" spans="1:24" ht="70" customHeight="1" x14ac:dyDescent="0.45">
      <c r="A38" s="5" t="str">
        <f t="shared" si="0"/>
        <v>탕비실_에코델타시티_일자17506002720XCXC800590320</v>
      </c>
      <c r="B38" s="5" t="s">
        <v>23</v>
      </c>
      <c r="C38" s="5" t="s">
        <v>7</v>
      </c>
      <c r="D38" s="5">
        <v>1750</v>
      </c>
      <c r="E38" s="5">
        <v>600</v>
      </c>
      <c r="F38" s="5">
        <v>2720</v>
      </c>
      <c r="G38" s="5" t="s">
        <v>20</v>
      </c>
      <c r="H38" s="5" t="s">
        <v>8</v>
      </c>
      <c r="I38" s="5" t="s">
        <v>20</v>
      </c>
      <c r="J38" s="5" t="s">
        <v>8</v>
      </c>
      <c r="K38" s="5">
        <v>800</v>
      </c>
      <c r="L38" s="5">
        <v>590</v>
      </c>
      <c r="M38" s="5">
        <v>320</v>
      </c>
      <c r="N38" s="5" t="s">
        <v>53</v>
      </c>
      <c r="O38" s="5" t="s">
        <v>47</v>
      </c>
      <c r="P38" s="5" t="s">
        <v>58</v>
      </c>
      <c r="Q38" s="5" t="s">
        <v>20</v>
      </c>
      <c r="R38" s="5" t="s">
        <v>20</v>
      </c>
      <c r="S38" s="5" t="s">
        <v>20</v>
      </c>
      <c r="T38" s="5" t="s">
        <v>20</v>
      </c>
      <c r="U38" s="5" t="s">
        <v>49</v>
      </c>
      <c r="V38" s="14">
        <f>IF(OR(INPUT!$B$2="",INPUT!$B$3="",INPUT!$B$4="",INPUT!$B$5="",INPUT!$B$6=""),"",(30*IF(TRIM(INPUT!$B$2)=TRIM(B38),1,0)+20*IF(TRIM(INPUT!$B$3)=TRIM(C38),1,0)+25*MAX(0,1-((ABS(IFERROR(VALUE(TRIM(D38)),0)-IFERROR(VALUE(TRIM(INPUT!$B$4)),0))/MAX(1,IFERROR(VALUE(TRIM(INPUT!$B$4)),0))+ABS(IFERROR(VALUE(TRIM(E38)),0)-IFERROR(VALUE(TRIM(INPUT!$B$5)),0))/MAX(1,IFERROR(VALUE(TRIM(INPUT!$B$5)),0))+ABS(IFERROR(VALUE(TRIM(F38)),0)-IFERROR(VALUE(TRIM(INPUT!$B$6)),0))/MAX(1,IFERROR(VALUE(TRIM(INPUT!$B$6)),0)))/3))+25*((IF(TRIM(INPUT!$B$7)=TRIM(G38),1,0)+IF(TRIM(INPUT!$B$8)=TRIM(H38),1,0)+IF(TRIM(INPUT!$B$9)=TRIM(I38),1,0)+IF(OR(TRIM(INPUT!$B$10)=TRIM(J38),AND(TRIM(INPUT!$B$10)="L/R",OR(TRIM(J38)="L",TRIM(J38)="R",TRIM(J38)="L/R"))),1,0))/4)))</f>
        <v>26.69082125603865</v>
      </c>
      <c r="W38" s="14">
        <f>IF(V38="","",IF(AND(TRIM(B38)=TRIM(INPUT!$B$2),TRIM(C38)=TRIM(INPUT!$B$3)),V38,V38*0.4))</f>
        <v>10.67632850241546</v>
      </c>
      <c r="X38" s="14">
        <f t="shared" si="1"/>
        <v>10.67632850241546</v>
      </c>
    </row>
    <row r="39" spans="1:24" ht="70" customHeight="1" x14ac:dyDescent="0.45">
      <c r="A39" s="5" t="str">
        <f t="shared" si="0"/>
        <v>탕비실_음성 푸르지오_일자19006002310XCXC800590320</v>
      </c>
      <c r="B39" s="5" t="s">
        <v>23</v>
      </c>
      <c r="C39" s="5" t="s">
        <v>7</v>
      </c>
      <c r="D39" s="5">
        <v>1900</v>
      </c>
      <c r="E39" s="5">
        <v>600</v>
      </c>
      <c r="F39" s="5">
        <v>2310</v>
      </c>
      <c r="G39" s="5" t="s">
        <v>20</v>
      </c>
      <c r="H39" s="5" t="s">
        <v>8</v>
      </c>
      <c r="I39" s="5" t="s">
        <v>20</v>
      </c>
      <c r="J39" s="5" t="s">
        <v>8</v>
      </c>
      <c r="K39" s="5">
        <v>800</v>
      </c>
      <c r="L39" s="5">
        <v>590</v>
      </c>
      <c r="M39" s="5">
        <v>320</v>
      </c>
      <c r="N39" s="5" t="s">
        <v>46</v>
      </c>
      <c r="O39" s="5" t="s">
        <v>47</v>
      </c>
      <c r="P39" s="5" t="s">
        <v>58</v>
      </c>
      <c r="Q39" s="5" t="s">
        <v>20</v>
      </c>
      <c r="R39" s="5" t="s">
        <v>20</v>
      </c>
      <c r="S39" s="5" t="s">
        <v>20</v>
      </c>
      <c r="T39" s="5" t="s">
        <v>20</v>
      </c>
      <c r="U39" s="5" t="s">
        <v>49</v>
      </c>
      <c r="V39" s="14">
        <f>IF(OR(INPUT!$B$2="",INPUT!$B$3="",INPUT!$B$4="",INPUT!$B$5="",INPUT!$B$6=""),"",(30*IF(TRIM(INPUT!$B$2)=TRIM(B39),1,0)+20*IF(TRIM(INPUT!$B$3)=TRIM(C39),1,0)+25*MAX(0,1-((ABS(IFERROR(VALUE(TRIM(D39)),0)-IFERROR(VALUE(TRIM(INPUT!$B$4)),0))/MAX(1,IFERROR(VALUE(TRIM(INPUT!$B$4)),0))+ABS(IFERROR(VALUE(TRIM(E39)),0)-IFERROR(VALUE(TRIM(INPUT!$B$5)),0))/MAX(1,IFERROR(VALUE(TRIM(INPUT!$B$5)),0))+ABS(IFERROR(VALUE(TRIM(F39)),0)-IFERROR(VALUE(TRIM(INPUT!$B$6)),0))/MAX(1,IFERROR(VALUE(TRIM(INPUT!$B$6)),0)))/3))+25*((IF(TRIM(INPUT!$B$7)=TRIM(G39),1,0)+IF(TRIM(INPUT!$B$8)=TRIM(H39),1,0)+IF(TRIM(INPUT!$B$9)=TRIM(I39),1,0)+IF(OR(TRIM(INPUT!$B$10)=TRIM(J39),AND(TRIM(INPUT!$B$10)="L/R",OR(TRIM(J39)="L",TRIM(J39)="R",TRIM(J39)="L/R"))),1,0))/4)))</f>
        <v>31.378321256038646</v>
      </c>
      <c r="W39" s="14">
        <f>IF(V39="","",IF(AND(TRIM(B39)=TRIM(INPUT!$B$2),TRIM(C39)=TRIM(INPUT!$B$3)),V39,V39*0.4))</f>
        <v>12.551328502415458</v>
      </c>
      <c r="X39" s="14">
        <f t="shared" si="1"/>
        <v>12.551328502415458</v>
      </c>
    </row>
    <row r="40" spans="1:24" ht="70" customHeight="1" x14ac:dyDescent="0.45">
      <c r="A40" s="5" t="str">
        <f t="shared" si="0"/>
        <v>탕비실_일산 푸르지오_일자28296002300XCXC1060610320</v>
      </c>
      <c r="B40" s="5" t="s">
        <v>23</v>
      </c>
      <c r="C40" s="5" t="s">
        <v>7</v>
      </c>
      <c r="D40" s="5">
        <v>2829</v>
      </c>
      <c r="E40" s="5">
        <v>600</v>
      </c>
      <c r="F40" s="5">
        <v>2300</v>
      </c>
      <c r="G40" s="5" t="s">
        <v>20</v>
      </c>
      <c r="H40" s="5" t="s">
        <v>8</v>
      </c>
      <c r="I40" s="5" t="s">
        <v>20</v>
      </c>
      <c r="J40" s="5" t="s">
        <v>8</v>
      </c>
      <c r="K40" s="5">
        <v>1060</v>
      </c>
      <c r="L40" s="5">
        <v>610</v>
      </c>
      <c r="M40" s="5">
        <v>320</v>
      </c>
      <c r="N40" s="5" t="s">
        <v>64</v>
      </c>
      <c r="O40" s="5" t="s">
        <v>47</v>
      </c>
      <c r="P40" s="5" t="s">
        <v>58</v>
      </c>
      <c r="Q40" s="5" t="s">
        <v>20</v>
      </c>
      <c r="R40" s="5" t="s">
        <v>20</v>
      </c>
      <c r="S40" s="5" t="s">
        <v>20</v>
      </c>
      <c r="T40" s="5" t="s">
        <v>20</v>
      </c>
      <c r="U40" s="5" t="s">
        <v>65</v>
      </c>
      <c r="V40" s="14">
        <f>IF(OR(INPUT!$B$2="",INPUT!$B$3="",INPUT!$B$4="",INPUT!$B$5="",INPUT!$B$6=""),"",(30*IF(TRIM(INPUT!$B$2)=TRIM(B40),1,0)+20*IF(TRIM(INPUT!$B$3)=TRIM(C40),1,0)+25*MAX(0,1-((ABS(IFERROR(VALUE(TRIM(D40)),0)-IFERROR(VALUE(TRIM(INPUT!$B$4)),0))/MAX(1,IFERROR(VALUE(TRIM(INPUT!$B$4)),0))+ABS(IFERROR(VALUE(TRIM(E40)),0)-IFERROR(VALUE(TRIM(INPUT!$B$5)),0))/MAX(1,IFERROR(VALUE(TRIM(INPUT!$B$5)),0))+ABS(IFERROR(VALUE(TRIM(F40)),0)-IFERROR(VALUE(TRIM(INPUT!$B$6)),0))/MAX(1,IFERROR(VALUE(TRIM(INPUT!$B$6)),0)))/3))+25*((IF(TRIM(INPUT!$B$7)=TRIM(G40),1,0)+IF(TRIM(INPUT!$B$8)=TRIM(H40),1,0)+IF(TRIM(INPUT!$B$9)=TRIM(I40),1,0)+IF(OR(TRIM(INPUT!$B$10)=TRIM(J40),AND(TRIM(INPUT!$B$10)="L/R",OR(TRIM(J40)="L",TRIM(J40)="R",TRIM(J40)="L/R"))),1,0))/4)))</f>
        <v>34.063043478260866</v>
      </c>
      <c r="W40" s="14">
        <f>IF(V40="","",IF(AND(TRIM(B40)=TRIM(INPUT!$B$2),TRIM(C40)=TRIM(INPUT!$B$3)),V40,V40*0.4))</f>
        <v>13.625217391304346</v>
      </c>
      <c r="X40" s="14">
        <f t="shared" si="1"/>
        <v>13.625217391304346</v>
      </c>
    </row>
    <row r="41" spans="1:24" ht="70" customHeight="1" x14ac:dyDescent="0.45">
      <c r="A41" s="5" t="str">
        <f t="shared" si="0"/>
        <v>탕비실_과천 지식정보타운_ㄱ자243014602695XCXC820590320</v>
      </c>
      <c r="B41" s="5" t="s">
        <v>23</v>
      </c>
      <c r="C41" s="5" t="s">
        <v>12</v>
      </c>
      <c r="D41" s="5">
        <v>2430</v>
      </c>
      <c r="E41" s="5">
        <v>1460</v>
      </c>
      <c r="F41" s="5">
        <v>2695</v>
      </c>
      <c r="G41" s="5" t="s">
        <v>20</v>
      </c>
      <c r="H41" s="5" t="s">
        <v>8</v>
      </c>
      <c r="I41" s="5" t="s">
        <v>20</v>
      </c>
      <c r="J41" s="5" t="s">
        <v>8</v>
      </c>
      <c r="K41" s="5">
        <v>820</v>
      </c>
      <c r="L41" s="5">
        <v>590</v>
      </c>
      <c r="M41" s="5">
        <v>320</v>
      </c>
      <c r="N41" s="5" t="s">
        <v>66</v>
      </c>
      <c r="O41" s="5" t="s">
        <v>20</v>
      </c>
      <c r="P41" s="5" t="s">
        <v>58</v>
      </c>
      <c r="Q41" s="5" t="s">
        <v>20</v>
      </c>
      <c r="R41" s="5" t="s">
        <v>20</v>
      </c>
      <c r="S41" s="5" t="s">
        <v>20</v>
      </c>
      <c r="T41" s="5" t="s">
        <v>20</v>
      </c>
      <c r="U41" s="5" t="s">
        <v>67</v>
      </c>
      <c r="V41" s="14">
        <f>IF(OR(INPUT!$B$2="",INPUT!$B$3="",INPUT!$B$4="",INPUT!$B$5="",INPUT!$B$6=""),"",(30*IF(TRIM(INPUT!$B$2)=TRIM(B41),1,0)+20*IF(TRIM(INPUT!$B$3)=TRIM(C41),1,0)+25*MAX(0,1-((ABS(IFERROR(VALUE(TRIM(D41)),0)-IFERROR(VALUE(TRIM(INPUT!$B$4)),0))/MAX(1,IFERROR(VALUE(TRIM(INPUT!$B$4)),0))+ABS(IFERROR(VALUE(TRIM(E41)),0)-IFERROR(VALUE(TRIM(INPUT!$B$5)),0))/MAX(1,IFERROR(VALUE(TRIM(INPUT!$B$5)),0))+ABS(IFERROR(VALUE(TRIM(F41)),0)-IFERROR(VALUE(TRIM(INPUT!$B$6)),0))/MAX(1,IFERROR(VALUE(TRIM(INPUT!$B$6)),0)))/3))+25*((IF(TRIM(INPUT!$B$7)=TRIM(G41),1,0)+IF(TRIM(INPUT!$B$8)=TRIM(H41),1,0)+IF(TRIM(INPUT!$B$9)=TRIM(I41),1,0)+IF(OR(TRIM(INPUT!$B$10)=TRIM(J41),AND(TRIM(INPUT!$B$10)="L/R",OR(TRIM(J41)="L",TRIM(J41)="R",TRIM(J41)="L/R"))),1,0))/4)))</f>
        <v>6.25</v>
      </c>
      <c r="W41" s="14">
        <f>IF(V41="","",IF(AND(TRIM(B41)=TRIM(INPUT!$B$2),TRIM(C41)=TRIM(INPUT!$B$3)),V41,V41*0.4))</f>
        <v>2.5</v>
      </c>
      <c r="X41" s="14">
        <f t="shared" si="1"/>
        <v>2.5</v>
      </c>
    </row>
    <row r="42" spans="1:24" ht="70" customHeight="1" x14ac:dyDescent="0.45">
      <c r="A42" s="5" t="str">
        <f t="shared" si="0"/>
        <v>탕비실_연희공원 라끌레르 1)_일자18306002400CCXC900590320</v>
      </c>
      <c r="B42" s="5" t="s">
        <v>23</v>
      </c>
      <c r="C42" s="5" t="s">
        <v>7</v>
      </c>
      <c r="D42" s="5">
        <v>1830</v>
      </c>
      <c r="E42" s="5">
        <v>600</v>
      </c>
      <c r="F42" s="5">
        <v>2400</v>
      </c>
      <c r="G42" s="5" t="s">
        <v>8</v>
      </c>
      <c r="H42" s="5" t="s">
        <v>8</v>
      </c>
      <c r="I42" s="5" t="s">
        <v>20</v>
      </c>
      <c r="J42" s="5" t="s">
        <v>8</v>
      </c>
      <c r="K42" s="5" t="s">
        <v>69</v>
      </c>
      <c r="L42" s="5">
        <v>590</v>
      </c>
      <c r="M42" s="5">
        <v>320</v>
      </c>
      <c r="N42" s="5" t="s">
        <v>70</v>
      </c>
      <c r="O42" s="5" t="s">
        <v>47</v>
      </c>
      <c r="P42" s="5" t="s">
        <v>58</v>
      </c>
      <c r="Q42" s="5" t="s">
        <v>47</v>
      </c>
      <c r="R42" s="5" t="s">
        <v>20</v>
      </c>
      <c r="S42" s="5" t="s">
        <v>20</v>
      </c>
      <c r="T42" s="5" t="s">
        <v>20</v>
      </c>
      <c r="U42" s="5" t="s">
        <v>71</v>
      </c>
      <c r="V42" s="14">
        <f>IF(OR(INPUT!$B$2="",INPUT!$B$3="",INPUT!$B$4="",INPUT!$B$5="",INPUT!$B$6=""),"",(30*IF(TRIM(INPUT!$B$2)=TRIM(B42),1,0)+20*IF(TRIM(INPUT!$B$3)=TRIM(C42),1,0)+25*MAX(0,1-((ABS(IFERROR(VALUE(TRIM(D42)),0)-IFERROR(VALUE(TRIM(INPUT!$B$4)),0))/MAX(1,IFERROR(VALUE(TRIM(INPUT!$B$4)),0))+ABS(IFERROR(VALUE(TRIM(E42)),0)-IFERROR(VALUE(TRIM(INPUT!$B$5)),0))/MAX(1,IFERROR(VALUE(TRIM(INPUT!$B$5)),0))+ABS(IFERROR(VALUE(TRIM(F42)),0)-IFERROR(VALUE(TRIM(INPUT!$B$6)),0))/MAX(1,IFERROR(VALUE(TRIM(INPUT!$B$6)),0)))/3))+25*((IF(TRIM(INPUT!$B$7)=TRIM(G42),1,0)+IF(TRIM(INPUT!$B$8)=TRIM(H42),1,0)+IF(TRIM(INPUT!$B$9)=TRIM(I42),1,0)+IF(OR(TRIM(INPUT!$B$10)=TRIM(J42),AND(TRIM(INPUT!$B$10)="L/R",OR(TRIM(J42)="L",TRIM(J42)="R",TRIM(J42)="L/R"))),1,0))/4)))</f>
        <v>36.496376811594203</v>
      </c>
      <c r="W42" s="14">
        <f>IF(V42="","",IF(AND(TRIM(B42)=TRIM(INPUT!$B$2),TRIM(C42)=TRIM(INPUT!$B$3)),V42,V42*0.4))</f>
        <v>14.598550724637683</v>
      </c>
      <c r="X42" s="14">
        <f t="shared" si="1"/>
        <v>14.598550724637683</v>
      </c>
    </row>
    <row r="43" spans="1:24" ht="70" customHeight="1" x14ac:dyDescent="0.45">
      <c r="A43" s="5" t="str">
        <f t="shared" si="0"/>
        <v>탕비실_연희공원 라끌레르 2)_ㄱ자197512952700XCXC850590320</v>
      </c>
      <c r="B43" s="5" t="s">
        <v>23</v>
      </c>
      <c r="C43" s="5" t="s">
        <v>12</v>
      </c>
      <c r="D43" s="5">
        <v>1975</v>
      </c>
      <c r="E43" s="5">
        <v>1295</v>
      </c>
      <c r="F43" s="5">
        <v>2700</v>
      </c>
      <c r="G43" s="5" t="s">
        <v>20</v>
      </c>
      <c r="H43" s="5" t="s">
        <v>8</v>
      </c>
      <c r="I43" s="5" t="s">
        <v>20</v>
      </c>
      <c r="J43" s="5" t="s">
        <v>8</v>
      </c>
      <c r="K43" s="5" t="s">
        <v>72</v>
      </c>
      <c r="L43" s="5">
        <v>590</v>
      </c>
      <c r="M43" s="5">
        <v>320</v>
      </c>
      <c r="N43" s="5" t="s">
        <v>73</v>
      </c>
      <c r="O43" s="5" t="s">
        <v>47</v>
      </c>
      <c r="P43" s="5" t="s">
        <v>58</v>
      </c>
      <c r="Q43" s="5" t="s">
        <v>20</v>
      </c>
      <c r="R43" s="5" t="s">
        <v>20</v>
      </c>
      <c r="S43" s="5" t="s">
        <v>20</v>
      </c>
      <c r="T43" s="5" t="s">
        <v>20</v>
      </c>
      <c r="U43" s="5" t="s">
        <v>67</v>
      </c>
      <c r="V43" s="14">
        <f>IF(OR(INPUT!$B$2="",INPUT!$B$3="",INPUT!$B$4="",INPUT!$B$5="",INPUT!$B$6=""),"",(30*IF(TRIM(INPUT!$B$2)=TRIM(B43),1,0)+20*IF(TRIM(INPUT!$B$3)=TRIM(C43),1,0)+25*MAX(0,1-((ABS(IFERROR(VALUE(TRIM(D43)),0)-IFERROR(VALUE(TRIM(INPUT!$B$4)),0))/MAX(1,IFERROR(VALUE(TRIM(INPUT!$B$4)),0))+ABS(IFERROR(VALUE(TRIM(E43)),0)-IFERROR(VALUE(TRIM(INPUT!$B$5)),0))/MAX(1,IFERROR(VALUE(TRIM(INPUT!$B$5)),0))+ABS(IFERROR(VALUE(TRIM(F43)),0)-IFERROR(VALUE(TRIM(INPUT!$B$6)),0))/MAX(1,IFERROR(VALUE(TRIM(INPUT!$B$6)),0)))/3))+25*((IF(TRIM(INPUT!$B$7)=TRIM(G43),1,0)+IF(TRIM(INPUT!$B$8)=TRIM(H43),1,0)+IF(TRIM(INPUT!$B$9)=TRIM(I43),1,0)+IF(OR(TRIM(INPUT!$B$10)=TRIM(J43),AND(TRIM(INPUT!$B$10)="L/R",OR(TRIM(J43)="L",TRIM(J43)="R",TRIM(J43)="L/R"))),1,0))/4)))</f>
        <v>6.25</v>
      </c>
      <c r="W43" s="14">
        <f>IF(V43="","",IF(AND(TRIM(B43)=TRIM(INPUT!$B$2),TRIM(C43)=TRIM(INPUT!$B$3)),V43,V43*0.4))</f>
        <v>2.5</v>
      </c>
      <c r="X43" s="14">
        <f t="shared" si="1"/>
        <v>2.5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D1" workbookViewId="0">
      <selection activeCell="F14" sqref="F14"/>
    </sheetView>
  </sheetViews>
  <sheetFormatPr defaultRowHeight="17" x14ac:dyDescent="0.45"/>
  <cols>
    <col min="1" max="2" width="18" customWidth="1"/>
    <col min="3" max="3" width="24.4140625" bestFit="1" customWidth="1"/>
    <col min="4" max="5" width="40.9140625" bestFit="1" customWidth="1"/>
    <col min="6" max="7" width="20.5" bestFit="1" customWidth="1"/>
  </cols>
  <sheetData>
    <row r="1" spans="1:7" x14ac:dyDescent="0.45">
      <c r="A1" s="1" t="s">
        <v>74</v>
      </c>
      <c r="B1" s="1" t="s">
        <v>74</v>
      </c>
      <c r="C1" s="13" t="s">
        <v>75</v>
      </c>
      <c r="D1" s="15" t="s">
        <v>76</v>
      </c>
      <c r="E1" s="15" t="s">
        <v>77</v>
      </c>
      <c r="F1" s="15" t="s">
        <v>78</v>
      </c>
      <c r="G1" s="15" t="s">
        <v>79</v>
      </c>
    </row>
    <row r="2" spans="1:7" x14ac:dyDescent="0.45">
      <c r="A2" t="s">
        <v>80</v>
      </c>
      <c r="B2" t="s">
        <v>80</v>
      </c>
      <c r="C2" t="s">
        <v>81</v>
      </c>
      <c r="D2" s="14" t="s">
        <v>82</v>
      </c>
      <c r="E2" s="14" t="s">
        <v>83</v>
      </c>
      <c r="F2" s="14" t="s">
        <v>84</v>
      </c>
      <c r="G2" s="14" t="s">
        <v>85</v>
      </c>
    </row>
    <row r="3" spans="1:7" x14ac:dyDescent="0.45">
      <c r="A3" t="s">
        <v>86</v>
      </c>
      <c r="B3" t="s">
        <v>86</v>
      </c>
      <c r="C3" t="s">
        <v>81</v>
      </c>
      <c r="D3" s="14" t="s">
        <v>87</v>
      </c>
      <c r="E3" s="14" t="s">
        <v>88</v>
      </c>
      <c r="F3" s="14" t="s">
        <v>84</v>
      </c>
      <c r="G3" s="14" t="s">
        <v>89</v>
      </c>
    </row>
    <row r="4" spans="1:7" x14ac:dyDescent="0.45">
      <c r="A4" t="s">
        <v>90</v>
      </c>
      <c r="B4" t="s">
        <v>90</v>
      </c>
      <c r="C4" t="s">
        <v>81</v>
      </c>
      <c r="D4" s="14" t="s">
        <v>91</v>
      </c>
      <c r="E4" s="14" t="s">
        <v>92</v>
      </c>
      <c r="F4" s="14" t="s">
        <v>84</v>
      </c>
      <c r="G4" s="14" t="s">
        <v>93</v>
      </c>
    </row>
    <row r="5" spans="1:7" x14ac:dyDescent="0.45">
      <c r="A5" t="s">
        <v>94</v>
      </c>
      <c r="B5" t="s">
        <v>94</v>
      </c>
      <c r="C5" t="s">
        <v>81</v>
      </c>
      <c r="D5" s="14" t="s">
        <v>95</v>
      </c>
      <c r="E5" s="14" t="s">
        <v>96</v>
      </c>
      <c r="F5" s="14" t="s">
        <v>84</v>
      </c>
      <c r="G5" s="14" t="s">
        <v>97</v>
      </c>
    </row>
    <row r="6" spans="1:7" x14ac:dyDescent="0.45">
      <c r="A6" t="s">
        <v>98</v>
      </c>
      <c r="B6" t="s">
        <v>98</v>
      </c>
      <c r="C6" t="s">
        <v>99</v>
      </c>
      <c r="D6" s="14" t="s">
        <v>100</v>
      </c>
      <c r="E6" s="14" t="s">
        <v>101</v>
      </c>
      <c r="F6" s="14" t="s">
        <v>102</v>
      </c>
      <c r="G6" s="14" t="s">
        <v>103</v>
      </c>
    </row>
    <row r="7" spans="1:7" x14ac:dyDescent="0.45">
      <c r="A7" t="s">
        <v>104</v>
      </c>
      <c r="B7" t="s">
        <v>104</v>
      </c>
      <c r="C7" t="s">
        <v>105</v>
      </c>
      <c r="D7" s="14" t="s">
        <v>106</v>
      </c>
      <c r="E7" s="14" t="s">
        <v>107</v>
      </c>
      <c r="F7" s="14" t="s">
        <v>108</v>
      </c>
      <c r="G7" s="14" t="s">
        <v>109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C31"/>
  <sheetViews>
    <sheetView workbookViewId="0">
      <selection activeCell="C6" sqref="C6"/>
    </sheetView>
  </sheetViews>
  <sheetFormatPr defaultRowHeight="17" x14ac:dyDescent="0.45"/>
  <cols>
    <col min="1" max="1" width="18" customWidth="1"/>
    <col min="2" max="2" width="56.33203125" bestFit="1" customWidth="1"/>
    <col min="3" max="3" width="13.9140625" bestFit="1" customWidth="1"/>
  </cols>
  <sheetData>
    <row r="1" spans="1:3" x14ac:dyDescent="0.45">
      <c r="A1" s="15" t="s">
        <v>0</v>
      </c>
      <c r="B1" s="15" t="s">
        <v>110</v>
      </c>
      <c r="C1" s="18" t="s">
        <v>111</v>
      </c>
    </row>
    <row r="2" spans="1:3" x14ac:dyDescent="0.45">
      <c r="A2" s="14" t="s">
        <v>112</v>
      </c>
      <c r="B2" s="14" t="str">
        <f>IF(OR(INPUT!B2="",INPUT!B3="",INPUT!B4="",INPUT!B5="",INPUT!B6=""),"",IF(OR(INPUT!B6&lt;900,AND(INPUT!B7="C",INPUT!B3="ㄱ자",INPUT!B4&lt;3000),AND(INPUT!B9="R",INPUT!B10="C",INPUT!B8="C")),"불가","가능"))</f>
        <v>불가</v>
      </c>
      <c r="C2" s="14"/>
    </row>
    <row r="3" spans="1:3" x14ac:dyDescent="0.45">
      <c r="A3" s="14" t="s">
        <v>113</v>
      </c>
      <c r="B3" s="14" t="str">
        <f>IF(B2&lt;&gt;"불가","",IF(INPUT!B6&lt;900,"공간 높이(H) 최소 기준 미달(900 미만)",IF(AND(INPUT!B7="C",INPUT!B3="ㄱ자",INPUT!B4&lt;3000),"분배기 C 고정 + ㄱ자 + 공간W 부족(3000 미만)",IF(AND(INPUT!B9="R",INPUT!B10="C",INPUT!B8="C"),"가스(R) 고정 + 전기(C)·수도(C) 간섭 위험(사전차단)","기타 사전차단 조건"))))</f>
        <v>공간 높이(H) 최소 기준 미달(900 미만)</v>
      </c>
      <c r="C3" s="14"/>
    </row>
    <row r="4" spans="1:3" x14ac:dyDescent="0.45">
      <c r="A4" s="14" t="s">
        <v>114</v>
      </c>
      <c r="B4" s="14" t="str">
        <f>IF(B2&lt;&gt;"불가","",TRIM(IF(INPUT!B6&lt;900,"F-01 공간H 미달; ","")&amp;IF(AND(INPUT!B7="C",INPUT!B3="ㄱ자",INPUT!B4&lt;3000),"F-02 분배기C+ㄱ자+W부족; ","")&amp;IF(AND(INPUT!B9="R",INPUT!B10="C",INPUT!B8="C"),"F-03 가스R+전기C+수도C; ","")))</f>
        <v>F-01 공간H 미달;</v>
      </c>
      <c r="C4" s="14"/>
    </row>
    <row r="5" spans="1:3" x14ac:dyDescent="0.45">
      <c r="A5" s="16" t="s">
        <v>115</v>
      </c>
      <c r="B5" s="16" t="str">
        <f>TRIM(IF(INPUT!B10="L/R","V-01 전기 위치 가변 → 복수안 유지; ","")&amp;IF(INPUT!B8="L/R","V-02 수도 위치 가변 → 복수안 유지; ",""))</f>
        <v>V-01 전기 위치 가변 → 복수안 유지;</v>
      </c>
      <c r="C5" s="14"/>
    </row>
    <row r="6" spans="1:3" x14ac:dyDescent="0.45">
      <c r="A6" s="14" t="s">
        <v>116</v>
      </c>
      <c r="B6" s="14" t="str">
        <f>IF(MAX(DB!$X$2:$X$2000)=0,"",INDEX(DB!$A$2:$A$2000,MATCH(MAX(DB!$X$2:$X$2000),DB!$X$2:$X$2000,0)))</f>
        <v>돌봄센터_김해구산 푸르지오_일자2745600690XCXC900610320</v>
      </c>
      <c r="C6" s="17" t="str">
        <f>HYPERLINK(
 "C:\Users\ttyl8\OneDrive\a밸류마크TWO\(주)나나플러스홈\연구서운영관리\AI관련 벤처\싱크대 도면 - Key\" &amp;
 IF(RIGHT(TRIM(B6),4)=".pdf",TRIM(B6),TRIM(B6)&amp;".pdf"),
 "도면(PDF) 열기"
)</f>
        <v>도면(PDF) 열기</v>
      </c>
    </row>
    <row r="7" spans="1:3" x14ac:dyDescent="0.45">
      <c r="A7" s="14" t="s">
        <v>117</v>
      </c>
      <c r="B7" s="14" t="str">
        <f>IF(COUNTIF(DB!$X$2:$X$2000,"&gt;0")&lt;2,"",INDEX(DB!$A$2:$A$2000,MATCH(LARGE(DB!$X$2:$X$2000,2),DB!$X$2:$X$2000,0)))</f>
        <v>돌봄센터_다산 진건_일자32106902420CCXC900600320</v>
      </c>
      <c r="C7" s="17" t="str">
        <f>HYPERLINK(
 "C:\Users\ttyl8\OneDrive\a밸류마크TWO\(주)나나플러스홈\연구서운영관리\AI관련 벤처\싱크대 도면 - Key\" &amp;
 IF(RIGHT(TRIM(B7),4)=".pdf",TRIM(B7),TRIM(B7)&amp;".pdf"),
 "도면(PDF) 열기"
)</f>
        <v>도면(PDF) 열기</v>
      </c>
    </row>
    <row r="8" spans="1:3" x14ac:dyDescent="0.45">
      <c r="A8" s="14" t="s">
        <v>118</v>
      </c>
      <c r="B8" s="14" t="str">
        <f>IF(COUNTIF(DB!$X$2:$X$2000,"&gt;0")&lt;3,"",INDEX(DB!$A$2:$A$2000,MATCH(LARGE(DB!$X$2:$X$2000,3),DB!$X$2:$X$2000,0)))</f>
        <v>돌봄센터_에코델타시티_일자30056002420CCRC900600320</v>
      </c>
      <c r="C8" s="17" t="str">
        <f>HYPERLINK(
"C:\Users\ttyl8\OneDrive\a밸류마크TWO\(주)나나플러스홈\연구서운영관리\AI관련 벤처\싱크대 도면 - Key\" &amp;
IF(RIGHT(TRIM(B8),4)=".pdf",TRIM(B8),TRIM(B8)&amp;".pdf"),
"도면(PDF) 열기"
)</f>
        <v>도면(PDF) 열기</v>
      </c>
    </row>
    <row r="9" spans="1:3" x14ac:dyDescent="0.45">
      <c r="A9" t="s">
        <v>119</v>
      </c>
      <c r="B9" t="s">
        <v>120</v>
      </c>
    </row>
    <row r="30" spans="1:2" x14ac:dyDescent="0.45">
      <c r="A30" t="s">
        <v>121</v>
      </c>
      <c r="B30">
        <f>MAX(DB!$X$2:$X$2000)</f>
        <v>78.308876811594203</v>
      </c>
    </row>
    <row r="31" spans="1:2" x14ac:dyDescent="0.45">
      <c r="A31" t="s">
        <v>122</v>
      </c>
      <c r="B31">
        <f>COUNTIF(DB!$X$2:$X$2000,"&gt;0")</f>
        <v>42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I28" sqref="I28"/>
    </sheetView>
  </sheetViews>
  <sheetFormatPr defaultRowHeight="17" x14ac:dyDescent="0.45"/>
  <sheetData>
    <row r="1" spans="1:4" x14ac:dyDescent="0.45">
      <c r="A1" t="s">
        <v>123</v>
      </c>
    </row>
    <row r="2" spans="1:4" x14ac:dyDescent="0.45">
      <c r="A2" t="s">
        <v>124</v>
      </c>
    </row>
    <row r="4" spans="1:4" x14ac:dyDescent="0.45">
      <c r="A4" t="s">
        <v>125</v>
      </c>
      <c r="B4" t="s">
        <v>12</v>
      </c>
      <c r="C4" t="s">
        <v>16</v>
      </c>
      <c r="D4" t="s">
        <v>7</v>
      </c>
    </row>
    <row r="5" spans="1:4" x14ac:dyDescent="0.45">
      <c r="A5" t="s">
        <v>4</v>
      </c>
      <c r="B5">
        <v>0</v>
      </c>
      <c r="C5">
        <v>0</v>
      </c>
      <c r="D5">
        <v>5</v>
      </c>
    </row>
    <row r="6" spans="1:4" x14ac:dyDescent="0.45">
      <c r="A6" t="s">
        <v>11</v>
      </c>
      <c r="B6">
        <v>8</v>
      </c>
      <c r="C6">
        <v>1</v>
      </c>
      <c r="D6">
        <v>5</v>
      </c>
    </row>
    <row r="7" spans="1:4" x14ac:dyDescent="0.45">
      <c r="A7" t="s">
        <v>15</v>
      </c>
      <c r="B7">
        <v>10</v>
      </c>
      <c r="C7">
        <v>0</v>
      </c>
      <c r="D7">
        <v>1</v>
      </c>
    </row>
    <row r="8" spans="1:4" x14ac:dyDescent="0.45">
      <c r="A8" t="s">
        <v>19</v>
      </c>
      <c r="B8">
        <v>0</v>
      </c>
      <c r="C8">
        <v>0</v>
      </c>
      <c r="D8">
        <v>1</v>
      </c>
    </row>
    <row r="9" spans="1:4" x14ac:dyDescent="0.45">
      <c r="A9" t="s">
        <v>23</v>
      </c>
      <c r="B9">
        <v>2</v>
      </c>
      <c r="C9">
        <v>0</v>
      </c>
      <c r="D9">
        <v>9</v>
      </c>
    </row>
    <row r="12" spans="1:4" x14ac:dyDescent="0.45">
      <c r="A12" t="s">
        <v>126</v>
      </c>
    </row>
    <row r="13" spans="1:4" x14ac:dyDescent="0.45">
      <c r="A13" t="s">
        <v>127</v>
      </c>
      <c r="B13" t="s">
        <v>128</v>
      </c>
    </row>
    <row r="14" spans="1:4" x14ac:dyDescent="0.45">
      <c r="A14" t="s">
        <v>129</v>
      </c>
      <c r="B14">
        <v>3</v>
      </c>
    </row>
    <row r="15" spans="1:4" x14ac:dyDescent="0.45">
      <c r="A15" t="s">
        <v>130</v>
      </c>
      <c r="B15">
        <v>3</v>
      </c>
    </row>
    <row r="16" spans="1:4" x14ac:dyDescent="0.45">
      <c r="A16" t="s">
        <v>131</v>
      </c>
      <c r="B16">
        <v>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L15" sqref="L15"/>
    </sheetView>
  </sheetViews>
  <sheetFormatPr defaultRowHeight="17" x14ac:dyDescent="0.45"/>
  <sheetData>
    <row r="1" spans="1:17" x14ac:dyDescent="0.45">
      <c r="A1" t="s">
        <v>132</v>
      </c>
      <c r="B1" t="s">
        <v>125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Q1" s="19" t="s">
        <v>146</v>
      </c>
    </row>
    <row r="2" spans="1:17" x14ac:dyDescent="0.45">
      <c r="A2" t="s">
        <v>147</v>
      </c>
      <c r="B2" t="s">
        <v>4</v>
      </c>
      <c r="C2" t="s">
        <v>7</v>
      </c>
      <c r="D2">
        <v>3400</v>
      </c>
      <c r="E2">
        <v>2500</v>
      </c>
      <c r="F2">
        <v>2750</v>
      </c>
      <c r="G2" t="s">
        <v>8</v>
      </c>
      <c r="H2" t="s">
        <v>17</v>
      </c>
      <c r="I2" t="s">
        <v>8</v>
      </c>
      <c r="J2" t="s">
        <v>13</v>
      </c>
      <c r="K2" t="s">
        <v>148</v>
      </c>
      <c r="Q2" t="s">
        <v>149</v>
      </c>
    </row>
    <row r="3" spans="1:17" x14ac:dyDescent="0.45">
      <c r="A3" t="s">
        <v>150</v>
      </c>
      <c r="B3" t="s">
        <v>4</v>
      </c>
      <c r="C3" t="s">
        <v>7</v>
      </c>
      <c r="D3">
        <v>3400</v>
      </c>
      <c r="E3">
        <v>2500</v>
      </c>
      <c r="F3">
        <v>800</v>
      </c>
      <c r="G3" t="s">
        <v>8</v>
      </c>
      <c r="H3" t="s">
        <v>17</v>
      </c>
      <c r="I3" t="s">
        <v>8</v>
      </c>
      <c r="J3" t="s">
        <v>13</v>
      </c>
      <c r="K3" t="s">
        <v>151</v>
      </c>
      <c r="L3" t="s">
        <v>152</v>
      </c>
    </row>
    <row r="4" spans="1:17" x14ac:dyDescent="0.45">
      <c r="A4" t="s">
        <v>153</v>
      </c>
      <c r="B4" t="s">
        <v>11</v>
      </c>
      <c r="C4" t="s">
        <v>12</v>
      </c>
      <c r="D4">
        <v>2800</v>
      </c>
      <c r="E4">
        <v>2400</v>
      </c>
      <c r="F4">
        <v>2420</v>
      </c>
      <c r="G4" t="s">
        <v>8</v>
      </c>
      <c r="H4" t="s">
        <v>8</v>
      </c>
      <c r="I4" t="s">
        <v>17</v>
      </c>
      <c r="J4" t="s">
        <v>17</v>
      </c>
      <c r="K4" t="s">
        <v>151</v>
      </c>
      <c r="L4" t="s">
        <v>154</v>
      </c>
    </row>
    <row r="5" spans="1:17" x14ac:dyDescent="0.45">
      <c r="A5" t="s">
        <v>155</v>
      </c>
      <c r="B5" t="s">
        <v>15</v>
      </c>
      <c r="C5" t="s">
        <v>12</v>
      </c>
      <c r="D5">
        <v>3800</v>
      </c>
      <c r="E5">
        <v>2450</v>
      </c>
      <c r="F5">
        <v>2420</v>
      </c>
      <c r="G5" t="s">
        <v>8</v>
      </c>
      <c r="H5" t="s">
        <v>8</v>
      </c>
      <c r="I5" t="s">
        <v>17</v>
      </c>
      <c r="J5" t="s">
        <v>21</v>
      </c>
      <c r="K5" t="s">
        <v>148</v>
      </c>
      <c r="L5" t="s">
        <v>156</v>
      </c>
    </row>
    <row r="6" spans="1:17" x14ac:dyDescent="0.45">
      <c r="A6" t="s">
        <v>157</v>
      </c>
      <c r="B6" t="s">
        <v>11</v>
      </c>
      <c r="C6" t="s">
        <v>12</v>
      </c>
      <c r="D6">
        <v>4315</v>
      </c>
      <c r="E6">
        <v>2390</v>
      </c>
      <c r="F6">
        <v>2400</v>
      </c>
      <c r="G6" t="s">
        <v>8</v>
      </c>
      <c r="H6" t="s">
        <v>8</v>
      </c>
      <c r="I6" t="s">
        <v>17</v>
      </c>
      <c r="J6" t="s">
        <v>8</v>
      </c>
      <c r="K6" t="s">
        <v>151</v>
      </c>
      <c r="L6" t="s">
        <v>158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7" x14ac:dyDescent="0.45"/>
  <sheetData>
    <row r="1" spans="1:1" x14ac:dyDescent="0.45">
      <c r="A1" t="s">
        <v>159</v>
      </c>
    </row>
    <row r="2" spans="1:1" x14ac:dyDescent="0.45">
      <c r="A2" t="s">
        <v>160</v>
      </c>
    </row>
    <row r="3" spans="1:1" x14ac:dyDescent="0.45">
      <c r="A3" t="s">
        <v>161</v>
      </c>
    </row>
    <row r="4" spans="1:1" x14ac:dyDescent="0.45">
      <c r="A4" t="s">
        <v>162</v>
      </c>
    </row>
    <row r="5" spans="1:1" x14ac:dyDescent="0.45">
      <c r="A5" t="s">
        <v>163</v>
      </c>
    </row>
    <row r="6" spans="1:1" x14ac:dyDescent="0.45">
      <c r="A6" t="s">
        <v>164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7" x14ac:dyDescent="0.45"/>
  <sheetData>
    <row r="1" spans="1:8" ht="21" x14ac:dyDescent="0.55000000000000004">
      <c r="A1" s="27" t="s">
        <v>165</v>
      </c>
      <c r="B1" s="28"/>
      <c r="C1" s="28"/>
      <c r="D1" s="28"/>
      <c r="E1" s="28"/>
      <c r="F1" s="28"/>
      <c r="G1" s="28"/>
      <c r="H1" s="28"/>
    </row>
    <row r="3" spans="1:8" x14ac:dyDescent="0.45">
      <c r="A3" s="19" t="s">
        <v>166</v>
      </c>
    </row>
    <row r="4" spans="1:8" x14ac:dyDescent="0.45">
      <c r="A4" s="20" t="s">
        <v>167</v>
      </c>
      <c r="B4" s="20" t="s">
        <v>7</v>
      </c>
      <c r="C4" s="20" t="s">
        <v>12</v>
      </c>
      <c r="D4" s="20" t="s">
        <v>16</v>
      </c>
    </row>
    <row r="5" spans="1:8" x14ac:dyDescent="0.45">
      <c r="A5" s="21" t="s">
        <v>4</v>
      </c>
      <c r="B5" s="22">
        <f>COUNTIFS(DB!$B:$B,"돌봄센터",DB!$C:$C,"일자")</f>
        <v>5</v>
      </c>
      <c r="C5" s="22">
        <f>COUNTIFS(DB!$B:$B,"돌봄센터",DB!$C:$C,"ㄱ자")</f>
        <v>0</v>
      </c>
      <c r="D5" s="22">
        <f>COUNTIFS(DB!$B:$B,"돌봄센터",DB!$C:$C,"ㄷ자")</f>
        <v>0</v>
      </c>
    </row>
    <row r="6" spans="1:8" x14ac:dyDescent="0.45">
      <c r="A6" s="21" t="s">
        <v>11</v>
      </c>
      <c r="B6" s="22">
        <f>COUNTIFS(DB!$B:$B,"시니어클럽",DB!$C:$C,"일자")</f>
        <v>5</v>
      </c>
      <c r="C6" s="22">
        <f>COUNTIFS(DB!$B:$B,"시니어클럽",DB!$C:$C,"ㄱ자")</f>
        <v>8</v>
      </c>
      <c r="D6" s="22">
        <f>COUNTIFS(DB!$B:$B,"시니어클럽",DB!$C:$C,"ㄷ자")</f>
        <v>1</v>
      </c>
    </row>
    <row r="7" spans="1:8" x14ac:dyDescent="0.45">
      <c r="A7" s="21" t="s">
        <v>15</v>
      </c>
      <c r="B7" s="22">
        <f>COUNTIFS(DB!$B:$B,"어린이집",DB!$C:$C,"일자")</f>
        <v>1</v>
      </c>
      <c r="C7" s="22">
        <f>COUNTIFS(DB!$B:$B,"어린이집",DB!$C:$C,"ㄱ자")</f>
        <v>10</v>
      </c>
      <c r="D7" s="22">
        <f>COUNTIFS(DB!$B:$B,"어린이집",DB!$C:$C,"ㄷ자")</f>
        <v>0</v>
      </c>
    </row>
    <row r="8" spans="1:8" x14ac:dyDescent="0.45">
      <c r="A8" s="21" t="s">
        <v>19</v>
      </c>
      <c r="B8" s="22">
        <f>COUNTIFS(DB!$B:$B,"용역원실",DB!$C:$C,"일자")</f>
        <v>1</v>
      </c>
      <c r="C8" s="22">
        <f>COUNTIFS(DB!$B:$B,"용역원실",DB!$C:$C,"ㄱ자")</f>
        <v>0</v>
      </c>
      <c r="D8" s="22">
        <f>COUNTIFS(DB!$B:$B,"용역원실",DB!$C:$C,"ㄷ자")</f>
        <v>0</v>
      </c>
    </row>
    <row r="9" spans="1:8" x14ac:dyDescent="0.45">
      <c r="A9" s="21" t="s">
        <v>23</v>
      </c>
      <c r="B9" s="22">
        <f>COUNTIFS(DB!$B:$B,"탕비실",DB!$C:$C,"일자")</f>
        <v>9</v>
      </c>
      <c r="C9" s="22">
        <f>COUNTIFS(DB!$B:$B,"탕비실",DB!$C:$C,"ㄱ자")</f>
        <v>2</v>
      </c>
      <c r="D9" s="22">
        <f>COUNTIFS(DB!$B:$B,"탕비실",DB!$C:$C,"ㄷ자")</f>
        <v>0</v>
      </c>
    </row>
    <row r="12" spans="1:8" x14ac:dyDescent="0.45">
      <c r="A12" s="19" t="s">
        <v>168</v>
      </c>
    </row>
    <row r="13" spans="1:8" x14ac:dyDescent="0.45">
      <c r="A13" s="20" t="s">
        <v>169</v>
      </c>
      <c r="B13" s="20" t="s">
        <v>170</v>
      </c>
      <c r="C13" s="20" t="s">
        <v>171</v>
      </c>
    </row>
    <row r="14" spans="1:8" x14ac:dyDescent="0.45">
      <c r="A14" s="22" t="s">
        <v>80</v>
      </c>
      <c r="B14" s="22" t="s">
        <v>172</v>
      </c>
      <c r="C14" s="22">
        <f>COUNTIF(DB!$F:$F,"&lt;900")</f>
        <v>3</v>
      </c>
    </row>
    <row r="15" spans="1:8" x14ac:dyDescent="0.45">
      <c r="A15" s="22" t="s">
        <v>86</v>
      </c>
      <c r="B15" s="22" t="s">
        <v>88</v>
      </c>
      <c r="C15" s="22">
        <f>COUNTIFS(DB!$G:$G,"C",DB!$C:$C,"ㄱ자",DB!$D:$D,"&lt;3000")</f>
        <v>3</v>
      </c>
    </row>
    <row r="16" spans="1:8" x14ac:dyDescent="0.45">
      <c r="A16" s="22" t="s">
        <v>90</v>
      </c>
      <c r="B16" s="22" t="s">
        <v>92</v>
      </c>
      <c r="C16" s="22">
        <f>COUNTIFS(DB!$I:$I,"R",DB!$J:$J,"C",DB!$H:$H,"C")</f>
        <v>3</v>
      </c>
    </row>
  </sheetData>
  <mergeCells count="1">
    <mergeCell ref="A1:H1"/>
  </mergeCells>
  <phoneticPr fontId="3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5" topLeftCell="A6" activePane="bottomLeft" state="frozen"/>
      <selection pane="bottomLeft"/>
    </sheetView>
  </sheetViews>
  <sheetFormatPr defaultRowHeight="17" x14ac:dyDescent="0.45"/>
  <cols>
    <col min="1" max="1" width="10" customWidth="1"/>
    <col min="2" max="2" width="12" customWidth="1"/>
    <col min="3" max="3" width="10" customWidth="1"/>
    <col min="4" max="4" width="8" customWidth="1"/>
    <col min="5" max="7" width="9" customWidth="1"/>
    <col min="8" max="11" width="8" customWidth="1"/>
    <col min="12" max="12" width="10" customWidth="1"/>
    <col min="13" max="13" width="22" customWidth="1"/>
    <col min="14" max="14" width="18" customWidth="1"/>
    <col min="15" max="17" width="45" customWidth="1"/>
    <col min="18" max="18" width="45" hidden="1" customWidth="1"/>
  </cols>
  <sheetData>
    <row r="1" spans="1:18" ht="21" x14ac:dyDescent="0.55000000000000004">
      <c r="A1" s="27" t="s">
        <v>173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3" spans="1:18" x14ac:dyDescent="0.45">
      <c r="A3" s="29" t="s">
        <v>174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5" spans="1:18" x14ac:dyDescent="0.45">
      <c r="A5" s="23" t="s">
        <v>175</v>
      </c>
      <c r="B5" s="23" t="s">
        <v>176</v>
      </c>
      <c r="C5" s="23" t="s">
        <v>3</v>
      </c>
      <c r="D5" s="23" t="s">
        <v>6</v>
      </c>
      <c r="E5" s="23" t="s">
        <v>177</v>
      </c>
      <c r="F5" s="23" t="s">
        <v>178</v>
      </c>
      <c r="G5" s="23" t="s">
        <v>179</v>
      </c>
      <c r="H5" s="23" t="s">
        <v>38</v>
      </c>
      <c r="I5" s="23" t="s">
        <v>180</v>
      </c>
      <c r="J5" s="23" t="s">
        <v>181</v>
      </c>
      <c r="K5" s="23" t="s">
        <v>182</v>
      </c>
      <c r="L5" s="23" t="s">
        <v>183</v>
      </c>
      <c r="M5" s="23" t="s">
        <v>184</v>
      </c>
      <c r="N5" s="23" t="s">
        <v>185</v>
      </c>
      <c r="O5" s="23" t="s">
        <v>186</v>
      </c>
      <c r="P5" s="23" t="s">
        <v>187</v>
      </c>
      <c r="Q5" s="23" t="s">
        <v>188</v>
      </c>
      <c r="R5" s="19" t="s">
        <v>189</v>
      </c>
    </row>
    <row r="6" spans="1:18" x14ac:dyDescent="0.45">
      <c r="A6" s="24" t="str">
        <f t="shared" ref="A6:A37" si="0">IF(COUNTA(C6:K6)=0,"","L"&amp;TEXT(ROW()-5,"000"))</f>
        <v/>
      </c>
      <c r="B6" s="24"/>
      <c r="C6" s="24"/>
      <c r="D6" s="24"/>
      <c r="E6" s="25"/>
      <c r="F6" s="25"/>
      <c r="G6" s="25"/>
      <c r="H6" s="24"/>
      <c r="I6" s="24"/>
      <c r="J6" s="24"/>
      <c r="K6" s="24"/>
      <c r="L6" s="24"/>
      <c r="M6" s="24"/>
      <c r="N6" s="24"/>
      <c r="O6" s="24"/>
      <c r="P6" s="24"/>
      <c r="Q6" s="24"/>
      <c r="R6" t="str">
        <f t="shared" ref="R6:R37" si="1">IF(COUNTA(C6:K6)=0,"",C6&amp;"_"&amp;D6&amp;"_"&amp;E6&amp;"_"&amp;F6&amp;"_"&amp;G6&amp;"_"&amp;H6&amp;"_"&amp;I6&amp;"_"&amp;J6&amp;"_"&amp;K6)</f>
        <v/>
      </c>
    </row>
    <row r="7" spans="1:18" x14ac:dyDescent="0.45">
      <c r="A7" s="24" t="str">
        <f t="shared" si="0"/>
        <v/>
      </c>
      <c r="B7" s="24"/>
      <c r="C7" s="24"/>
      <c r="D7" s="24"/>
      <c r="E7" s="25"/>
      <c r="F7" s="25"/>
      <c r="G7" s="25"/>
      <c r="H7" s="24"/>
      <c r="I7" s="24"/>
      <c r="J7" s="24"/>
      <c r="K7" s="24"/>
      <c r="L7" s="24"/>
      <c r="M7" s="24"/>
      <c r="N7" s="24"/>
      <c r="O7" s="24"/>
      <c r="P7" s="24"/>
      <c r="Q7" s="24"/>
      <c r="R7" t="str">
        <f t="shared" si="1"/>
        <v/>
      </c>
    </row>
    <row r="8" spans="1:18" x14ac:dyDescent="0.45">
      <c r="A8" s="24" t="str">
        <f t="shared" si="0"/>
        <v/>
      </c>
      <c r="B8" s="24"/>
      <c r="C8" s="24"/>
      <c r="D8" s="24"/>
      <c r="E8" s="25"/>
      <c r="F8" s="25"/>
      <c r="G8" s="25"/>
      <c r="H8" s="24"/>
      <c r="I8" s="24"/>
      <c r="J8" s="24"/>
      <c r="K8" s="24"/>
      <c r="L8" s="24"/>
      <c r="M8" s="24"/>
      <c r="N8" s="24"/>
      <c r="O8" s="24"/>
      <c r="P8" s="24"/>
      <c r="Q8" s="24"/>
      <c r="R8" t="str">
        <f t="shared" si="1"/>
        <v/>
      </c>
    </row>
    <row r="9" spans="1:18" x14ac:dyDescent="0.45">
      <c r="A9" s="24" t="str">
        <f t="shared" si="0"/>
        <v/>
      </c>
      <c r="B9" s="24"/>
      <c r="C9" s="24"/>
      <c r="D9" s="24"/>
      <c r="E9" s="25"/>
      <c r="F9" s="25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t="str">
        <f t="shared" si="1"/>
        <v/>
      </c>
    </row>
    <row r="10" spans="1:18" x14ac:dyDescent="0.45">
      <c r="A10" s="24" t="str">
        <f t="shared" si="0"/>
        <v/>
      </c>
      <c r="B10" s="24"/>
      <c r="C10" s="24"/>
      <c r="D10" s="24"/>
      <c r="E10" s="25"/>
      <c r="F10" s="25"/>
      <c r="G10" s="2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t="str">
        <f t="shared" si="1"/>
        <v/>
      </c>
    </row>
    <row r="11" spans="1:18" x14ac:dyDescent="0.45">
      <c r="A11" s="24" t="str">
        <f t="shared" si="0"/>
        <v/>
      </c>
      <c r="B11" s="24"/>
      <c r="C11" s="24"/>
      <c r="D11" s="24"/>
      <c r="E11" s="25"/>
      <c r="F11" s="25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t="str">
        <f t="shared" si="1"/>
        <v/>
      </c>
    </row>
    <row r="12" spans="1:18" x14ac:dyDescent="0.45">
      <c r="A12" s="24" t="str">
        <f t="shared" si="0"/>
        <v/>
      </c>
      <c r="B12" s="24"/>
      <c r="C12" s="24"/>
      <c r="D12" s="24"/>
      <c r="E12" s="25"/>
      <c r="F12" s="25"/>
      <c r="G12" s="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t="str">
        <f t="shared" si="1"/>
        <v/>
      </c>
    </row>
    <row r="13" spans="1:18" x14ac:dyDescent="0.45">
      <c r="A13" s="24" t="str">
        <f t="shared" si="0"/>
        <v/>
      </c>
      <c r="B13" s="24"/>
      <c r="C13" s="24"/>
      <c r="D13" s="24"/>
      <c r="E13" s="25"/>
      <c r="F13" s="25"/>
      <c r="G13" s="2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t="str">
        <f t="shared" si="1"/>
        <v/>
      </c>
    </row>
    <row r="14" spans="1:18" x14ac:dyDescent="0.45">
      <c r="A14" s="24" t="str">
        <f t="shared" si="0"/>
        <v/>
      </c>
      <c r="B14" s="24"/>
      <c r="C14" s="24"/>
      <c r="D14" s="24"/>
      <c r="E14" s="25"/>
      <c r="F14" s="25"/>
      <c r="G14" s="2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t="str">
        <f t="shared" si="1"/>
        <v/>
      </c>
    </row>
    <row r="15" spans="1:18" x14ac:dyDescent="0.45">
      <c r="A15" s="24" t="str">
        <f t="shared" si="0"/>
        <v/>
      </c>
      <c r="B15" s="24"/>
      <c r="C15" s="24"/>
      <c r="D15" s="24"/>
      <c r="E15" s="25"/>
      <c r="F15" s="25"/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t="str">
        <f t="shared" si="1"/>
        <v/>
      </c>
    </row>
    <row r="16" spans="1:18" x14ac:dyDescent="0.45">
      <c r="A16" s="24" t="str">
        <f t="shared" si="0"/>
        <v/>
      </c>
      <c r="B16" s="24"/>
      <c r="C16" s="24"/>
      <c r="D16" s="24"/>
      <c r="E16" s="25"/>
      <c r="F16" s="25"/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t="str">
        <f t="shared" si="1"/>
        <v/>
      </c>
    </row>
    <row r="17" spans="1:18" x14ac:dyDescent="0.45">
      <c r="A17" s="24" t="str">
        <f t="shared" si="0"/>
        <v/>
      </c>
      <c r="B17" s="24"/>
      <c r="C17" s="24"/>
      <c r="D17" s="24"/>
      <c r="E17" s="25"/>
      <c r="F17" s="25"/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t="str">
        <f t="shared" si="1"/>
        <v/>
      </c>
    </row>
    <row r="18" spans="1:18" x14ac:dyDescent="0.45">
      <c r="A18" s="24" t="str">
        <f t="shared" si="0"/>
        <v/>
      </c>
      <c r="B18" s="24"/>
      <c r="C18" s="24"/>
      <c r="D18" s="24"/>
      <c r="E18" s="25"/>
      <c r="F18" s="25"/>
      <c r="G18" s="2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t="str">
        <f t="shared" si="1"/>
        <v/>
      </c>
    </row>
    <row r="19" spans="1:18" x14ac:dyDescent="0.45">
      <c r="A19" s="24" t="str">
        <f t="shared" si="0"/>
        <v/>
      </c>
      <c r="B19" s="24"/>
      <c r="C19" s="24"/>
      <c r="D19" s="24"/>
      <c r="E19" s="25"/>
      <c r="F19" s="25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t="str">
        <f t="shared" si="1"/>
        <v/>
      </c>
    </row>
    <row r="20" spans="1:18" x14ac:dyDescent="0.45">
      <c r="A20" s="24" t="str">
        <f t="shared" si="0"/>
        <v/>
      </c>
      <c r="B20" s="24"/>
      <c r="C20" s="24"/>
      <c r="D20" s="24"/>
      <c r="E20" s="25"/>
      <c r="F20" s="25"/>
      <c r="G20" s="2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t="str">
        <f t="shared" si="1"/>
        <v/>
      </c>
    </row>
    <row r="21" spans="1:18" x14ac:dyDescent="0.45">
      <c r="A21" s="24" t="str">
        <f t="shared" si="0"/>
        <v/>
      </c>
      <c r="B21" s="24"/>
      <c r="C21" s="24"/>
      <c r="D21" s="24"/>
      <c r="E21" s="25"/>
      <c r="F21" s="25"/>
      <c r="G21" s="25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t="str">
        <f t="shared" si="1"/>
        <v/>
      </c>
    </row>
    <row r="22" spans="1:18" x14ac:dyDescent="0.45">
      <c r="A22" s="24" t="str">
        <f t="shared" si="0"/>
        <v/>
      </c>
      <c r="B22" s="24"/>
      <c r="C22" s="24"/>
      <c r="D22" s="24"/>
      <c r="E22" s="25"/>
      <c r="F22" s="25"/>
      <c r="G22" s="2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t="str">
        <f t="shared" si="1"/>
        <v/>
      </c>
    </row>
    <row r="23" spans="1:18" x14ac:dyDescent="0.45">
      <c r="A23" s="24" t="str">
        <f t="shared" si="0"/>
        <v/>
      </c>
      <c r="B23" s="24"/>
      <c r="C23" s="24"/>
      <c r="D23" s="24"/>
      <c r="E23" s="25"/>
      <c r="F23" s="25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t="str">
        <f t="shared" si="1"/>
        <v/>
      </c>
    </row>
    <row r="24" spans="1:18" x14ac:dyDescent="0.45">
      <c r="A24" s="24" t="str">
        <f t="shared" si="0"/>
        <v/>
      </c>
      <c r="B24" s="24"/>
      <c r="C24" s="24"/>
      <c r="D24" s="24"/>
      <c r="E24" s="25"/>
      <c r="F24" s="25"/>
      <c r="G24" s="2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t="str">
        <f t="shared" si="1"/>
        <v/>
      </c>
    </row>
    <row r="25" spans="1:18" x14ac:dyDescent="0.45">
      <c r="A25" s="24" t="str">
        <f t="shared" si="0"/>
        <v/>
      </c>
      <c r="B25" s="24"/>
      <c r="C25" s="24"/>
      <c r="D25" s="24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t="str">
        <f t="shared" si="1"/>
        <v/>
      </c>
    </row>
    <row r="26" spans="1:18" x14ac:dyDescent="0.45">
      <c r="A26" s="24" t="str">
        <f t="shared" si="0"/>
        <v/>
      </c>
      <c r="B26" s="24"/>
      <c r="C26" s="24"/>
      <c r="D26" s="24"/>
      <c r="E26" s="25"/>
      <c r="F26" s="25"/>
      <c r="G26" s="2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t="str">
        <f t="shared" si="1"/>
        <v/>
      </c>
    </row>
    <row r="27" spans="1:18" x14ac:dyDescent="0.45">
      <c r="A27" s="24" t="str">
        <f t="shared" si="0"/>
        <v/>
      </c>
      <c r="B27" s="24"/>
      <c r="C27" s="24"/>
      <c r="D27" s="24"/>
      <c r="E27" s="25"/>
      <c r="F27" s="25"/>
      <c r="G27" s="25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t="str">
        <f t="shared" si="1"/>
        <v/>
      </c>
    </row>
    <row r="28" spans="1:18" x14ac:dyDescent="0.45">
      <c r="A28" s="24" t="str">
        <f t="shared" si="0"/>
        <v/>
      </c>
      <c r="B28" s="24"/>
      <c r="C28" s="24"/>
      <c r="D28" s="24"/>
      <c r="E28" s="25"/>
      <c r="F28" s="25"/>
      <c r="G28" s="2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t="str">
        <f t="shared" si="1"/>
        <v/>
      </c>
    </row>
    <row r="29" spans="1:18" x14ac:dyDescent="0.45">
      <c r="A29" s="24" t="str">
        <f t="shared" si="0"/>
        <v/>
      </c>
      <c r="B29" s="24"/>
      <c r="C29" s="24"/>
      <c r="D29" s="24"/>
      <c r="E29" s="25"/>
      <c r="F29" s="25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t="str">
        <f t="shared" si="1"/>
        <v/>
      </c>
    </row>
    <row r="30" spans="1:18" x14ac:dyDescent="0.45">
      <c r="A30" s="24" t="str">
        <f t="shared" si="0"/>
        <v/>
      </c>
      <c r="B30" s="24"/>
      <c r="C30" s="24"/>
      <c r="D30" s="24"/>
      <c r="E30" s="25"/>
      <c r="F30" s="25"/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t="str">
        <f t="shared" si="1"/>
        <v/>
      </c>
    </row>
    <row r="31" spans="1:18" x14ac:dyDescent="0.45">
      <c r="A31" s="24" t="str">
        <f t="shared" si="0"/>
        <v/>
      </c>
      <c r="B31" s="24"/>
      <c r="C31" s="24"/>
      <c r="D31" s="24"/>
      <c r="E31" s="25"/>
      <c r="F31" s="25"/>
      <c r="G31" s="2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t="str">
        <f t="shared" si="1"/>
        <v/>
      </c>
    </row>
    <row r="32" spans="1:18" x14ac:dyDescent="0.45">
      <c r="A32" s="24" t="str">
        <f t="shared" si="0"/>
        <v/>
      </c>
      <c r="B32" s="24"/>
      <c r="C32" s="24"/>
      <c r="D32" s="24"/>
      <c r="E32" s="25"/>
      <c r="F32" s="25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t="str">
        <f t="shared" si="1"/>
        <v/>
      </c>
    </row>
    <row r="33" spans="1:18" x14ac:dyDescent="0.45">
      <c r="A33" s="24" t="str">
        <f t="shared" si="0"/>
        <v/>
      </c>
      <c r="B33" s="24"/>
      <c r="C33" s="24"/>
      <c r="D33" s="24"/>
      <c r="E33" s="25"/>
      <c r="F33" s="25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t="str">
        <f t="shared" si="1"/>
        <v/>
      </c>
    </row>
    <row r="34" spans="1:18" x14ac:dyDescent="0.45">
      <c r="A34" s="24" t="str">
        <f t="shared" si="0"/>
        <v/>
      </c>
      <c r="B34" s="24"/>
      <c r="C34" s="24"/>
      <c r="D34" s="24"/>
      <c r="E34" s="25"/>
      <c r="F34" s="25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t="str">
        <f t="shared" si="1"/>
        <v/>
      </c>
    </row>
    <row r="35" spans="1:18" x14ac:dyDescent="0.45">
      <c r="A35" s="24" t="str">
        <f t="shared" si="0"/>
        <v/>
      </c>
      <c r="B35" s="24"/>
      <c r="C35" s="24"/>
      <c r="D35" s="24"/>
      <c r="E35" s="25"/>
      <c r="F35" s="25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t="str">
        <f t="shared" si="1"/>
        <v/>
      </c>
    </row>
    <row r="36" spans="1:18" x14ac:dyDescent="0.45">
      <c r="A36" s="24" t="str">
        <f t="shared" si="0"/>
        <v/>
      </c>
      <c r="B36" s="24"/>
      <c r="C36" s="24"/>
      <c r="D36" s="24"/>
      <c r="E36" s="25"/>
      <c r="F36" s="25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t="str">
        <f t="shared" si="1"/>
        <v/>
      </c>
    </row>
    <row r="37" spans="1:18" x14ac:dyDescent="0.45">
      <c r="A37" s="24" t="str">
        <f t="shared" si="0"/>
        <v/>
      </c>
      <c r="B37" s="24"/>
      <c r="C37" s="24"/>
      <c r="D37" s="24"/>
      <c r="E37" s="25"/>
      <c r="F37" s="25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t="str">
        <f t="shared" si="1"/>
        <v/>
      </c>
    </row>
    <row r="38" spans="1:18" x14ac:dyDescent="0.45">
      <c r="A38" s="24" t="str">
        <f t="shared" ref="A38:A55" si="2">IF(COUNTA(C38:K38)=0,"","L"&amp;TEXT(ROW()-5,"000"))</f>
        <v/>
      </c>
      <c r="B38" s="24"/>
      <c r="C38" s="24"/>
      <c r="D38" s="24"/>
      <c r="E38" s="25"/>
      <c r="F38" s="25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t="str">
        <f t="shared" ref="R38:R55" si="3">IF(COUNTA(C38:K38)=0,"",C38&amp;"_"&amp;D38&amp;"_"&amp;E38&amp;"_"&amp;F38&amp;"_"&amp;G38&amp;"_"&amp;H38&amp;"_"&amp;I38&amp;"_"&amp;J38&amp;"_"&amp;K38)</f>
        <v/>
      </c>
    </row>
    <row r="39" spans="1:18" x14ac:dyDescent="0.45">
      <c r="A39" s="24" t="str">
        <f t="shared" si="2"/>
        <v/>
      </c>
      <c r="B39" s="24"/>
      <c r="C39" s="24"/>
      <c r="D39" s="24"/>
      <c r="E39" s="25"/>
      <c r="F39" s="25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t="str">
        <f t="shared" si="3"/>
        <v/>
      </c>
    </row>
    <row r="40" spans="1:18" x14ac:dyDescent="0.45">
      <c r="A40" s="24" t="str">
        <f t="shared" si="2"/>
        <v/>
      </c>
      <c r="B40" s="24"/>
      <c r="C40" s="24"/>
      <c r="D40" s="24"/>
      <c r="E40" s="25"/>
      <c r="F40" s="25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t="str">
        <f t="shared" si="3"/>
        <v/>
      </c>
    </row>
    <row r="41" spans="1:18" x14ac:dyDescent="0.45">
      <c r="A41" s="24" t="str">
        <f t="shared" si="2"/>
        <v/>
      </c>
      <c r="B41" s="24"/>
      <c r="C41" s="24"/>
      <c r="D41" s="24"/>
      <c r="E41" s="25"/>
      <c r="F41" s="25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t="str">
        <f t="shared" si="3"/>
        <v/>
      </c>
    </row>
    <row r="42" spans="1:18" x14ac:dyDescent="0.45">
      <c r="A42" s="24" t="str">
        <f t="shared" si="2"/>
        <v/>
      </c>
      <c r="B42" s="24"/>
      <c r="C42" s="24"/>
      <c r="D42" s="24"/>
      <c r="E42" s="25"/>
      <c r="F42" s="25"/>
      <c r="G42" s="2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t="str">
        <f t="shared" si="3"/>
        <v/>
      </c>
    </row>
    <row r="43" spans="1:18" x14ac:dyDescent="0.45">
      <c r="A43" s="24" t="str">
        <f t="shared" si="2"/>
        <v/>
      </c>
      <c r="B43" s="24"/>
      <c r="C43" s="24"/>
      <c r="D43" s="24"/>
      <c r="E43" s="25"/>
      <c r="F43" s="25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t="str">
        <f t="shared" si="3"/>
        <v/>
      </c>
    </row>
    <row r="44" spans="1:18" x14ac:dyDescent="0.45">
      <c r="A44" s="24" t="str">
        <f t="shared" si="2"/>
        <v/>
      </c>
      <c r="B44" s="24"/>
      <c r="C44" s="24"/>
      <c r="D44" s="24"/>
      <c r="E44" s="25"/>
      <c r="F44" s="25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t="str">
        <f t="shared" si="3"/>
        <v/>
      </c>
    </row>
    <row r="45" spans="1:18" x14ac:dyDescent="0.45">
      <c r="A45" s="24" t="str">
        <f t="shared" si="2"/>
        <v/>
      </c>
      <c r="B45" s="24"/>
      <c r="C45" s="24"/>
      <c r="D45" s="24"/>
      <c r="E45" s="25"/>
      <c r="F45" s="25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t="str">
        <f t="shared" si="3"/>
        <v/>
      </c>
    </row>
    <row r="46" spans="1:18" x14ac:dyDescent="0.45">
      <c r="A46" s="24" t="str">
        <f t="shared" si="2"/>
        <v/>
      </c>
      <c r="B46" s="24"/>
      <c r="C46" s="24"/>
      <c r="D46" s="24"/>
      <c r="E46" s="25"/>
      <c r="F46" s="25"/>
      <c r="G46" s="2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t="str">
        <f t="shared" si="3"/>
        <v/>
      </c>
    </row>
    <row r="47" spans="1:18" x14ac:dyDescent="0.45">
      <c r="A47" s="24" t="str">
        <f t="shared" si="2"/>
        <v/>
      </c>
      <c r="B47" s="24"/>
      <c r="C47" s="24"/>
      <c r="D47" s="24"/>
      <c r="E47" s="25"/>
      <c r="F47" s="25"/>
      <c r="G47" s="2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t="str">
        <f t="shared" si="3"/>
        <v/>
      </c>
    </row>
    <row r="48" spans="1:18" x14ac:dyDescent="0.45">
      <c r="A48" s="24" t="str">
        <f t="shared" si="2"/>
        <v/>
      </c>
      <c r="B48" s="24"/>
      <c r="C48" s="24"/>
      <c r="D48" s="24"/>
      <c r="E48" s="25"/>
      <c r="F48" s="25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t="str">
        <f t="shared" si="3"/>
        <v/>
      </c>
    </row>
    <row r="49" spans="1:18" x14ac:dyDescent="0.45">
      <c r="A49" s="24" t="str">
        <f t="shared" si="2"/>
        <v/>
      </c>
      <c r="B49" s="24"/>
      <c r="C49" s="24"/>
      <c r="D49" s="24"/>
      <c r="E49" s="25"/>
      <c r="F49" s="25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t="str">
        <f t="shared" si="3"/>
        <v/>
      </c>
    </row>
    <row r="50" spans="1:18" x14ac:dyDescent="0.45">
      <c r="A50" s="24" t="str">
        <f t="shared" si="2"/>
        <v/>
      </c>
      <c r="B50" s="24"/>
      <c r="C50" s="24"/>
      <c r="D50" s="24"/>
      <c r="E50" s="25"/>
      <c r="F50" s="25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t="str">
        <f t="shared" si="3"/>
        <v/>
      </c>
    </row>
    <row r="51" spans="1:18" x14ac:dyDescent="0.45">
      <c r="A51" s="24" t="str">
        <f t="shared" si="2"/>
        <v/>
      </c>
      <c r="B51" s="24"/>
      <c r="C51" s="24"/>
      <c r="D51" s="24"/>
      <c r="E51" s="25"/>
      <c r="F51" s="25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t="str">
        <f t="shared" si="3"/>
        <v/>
      </c>
    </row>
    <row r="52" spans="1:18" x14ac:dyDescent="0.45">
      <c r="A52" s="24" t="str">
        <f t="shared" si="2"/>
        <v/>
      </c>
      <c r="B52" s="24"/>
      <c r="C52" s="24"/>
      <c r="D52" s="24"/>
      <c r="E52" s="25"/>
      <c r="F52" s="25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t="str">
        <f t="shared" si="3"/>
        <v/>
      </c>
    </row>
    <row r="53" spans="1:18" x14ac:dyDescent="0.45">
      <c r="A53" s="24" t="str">
        <f t="shared" si="2"/>
        <v/>
      </c>
      <c r="B53" s="24"/>
      <c r="C53" s="24"/>
      <c r="D53" s="24"/>
      <c r="E53" s="25"/>
      <c r="F53" s="25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t="str">
        <f t="shared" si="3"/>
        <v/>
      </c>
    </row>
    <row r="54" spans="1:18" x14ac:dyDescent="0.45">
      <c r="A54" s="24" t="str">
        <f t="shared" si="2"/>
        <v/>
      </c>
      <c r="B54" s="24"/>
      <c r="C54" s="24"/>
      <c r="D54" s="24"/>
      <c r="E54" s="25"/>
      <c r="F54" s="25"/>
      <c r="G54" s="25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t="str">
        <f t="shared" si="3"/>
        <v/>
      </c>
    </row>
    <row r="55" spans="1:18" x14ac:dyDescent="0.45">
      <c r="A55" s="24" t="str">
        <f t="shared" si="2"/>
        <v/>
      </c>
      <c r="B55" s="24"/>
      <c r="C55" s="24"/>
      <c r="D55" s="24"/>
      <c r="E55" s="25"/>
      <c r="F55" s="25"/>
      <c r="G55" s="25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t="str">
        <f t="shared" si="3"/>
        <v/>
      </c>
    </row>
  </sheetData>
  <mergeCells count="2">
    <mergeCell ref="A3:Q3"/>
    <mergeCell ref="A1:Q1"/>
  </mergeCells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7" x14ac:dyDescent="0.45"/>
  <sheetData>
    <row r="1" spans="1:8" ht="21" x14ac:dyDescent="0.55000000000000004">
      <c r="A1" s="27" t="s">
        <v>190</v>
      </c>
      <c r="B1" s="28"/>
      <c r="C1" s="28"/>
      <c r="D1" s="28"/>
      <c r="E1" s="28"/>
      <c r="F1" s="28"/>
      <c r="G1" s="28"/>
      <c r="H1" s="28"/>
    </row>
    <row r="3" spans="1:8" x14ac:dyDescent="0.45">
      <c r="A3" s="19" t="s">
        <v>191</v>
      </c>
      <c r="F3" s="19" t="s">
        <v>192</v>
      </c>
    </row>
    <row r="4" spans="1:8" ht="85" x14ac:dyDescent="0.45">
      <c r="A4" s="23" t="s">
        <v>193</v>
      </c>
      <c r="B4" s="23" t="s">
        <v>194</v>
      </c>
      <c r="C4" s="23" t="s">
        <v>195</v>
      </c>
      <c r="D4" s="23" t="s">
        <v>196</v>
      </c>
      <c r="F4" s="23" t="s">
        <v>0</v>
      </c>
      <c r="G4" s="23" t="s">
        <v>197</v>
      </c>
      <c r="H4" s="23" t="s">
        <v>198</v>
      </c>
    </row>
    <row r="5" spans="1:8" ht="51" x14ac:dyDescent="0.45">
      <c r="A5" s="26"/>
      <c r="B5" s="26" t="str">
        <f>IF($A5="","",COUNTIF(LOG_202608!$R:$R,$A5))</f>
        <v/>
      </c>
      <c r="C5" s="26"/>
      <c r="D5" s="26" t="str">
        <f t="shared" ref="D5:D25" si="0">IF(OR($A5="",B5=0,C5=""),"",C5/B5)</f>
        <v/>
      </c>
      <c r="F5" s="26" t="s">
        <v>199</v>
      </c>
      <c r="G5" s="26" t="s">
        <v>200</v>
      </c>
      <c r="H5" s="26" t="str">
        <f>IF(COUNTA(LOG_202608!$L$6:$L$200)=0,"",COUNTIF(LOG_202608!$L$6:$L$200,"가능")/COUNTA(LOG_202608!$L$6:$L$200))</f>
        <v/>
      </c>
    </row>
    <row r="6" spans="1:8" ht="51" x14ac:dyDescent="0.45">
      <c r="A6" s="26"/>
      <c r="B6" s="26" t="str">
        <f>IF($A6="","",COUNTIF(LOG_202608!$R:$R,$A6))</f>
        <v/>
      </c>
      <c r="C6" s="26"/>
      <c r="D6" s="26" t="str">
        <f t="shared" si="0"/>
        <v/>
      </c>
      <c r="F6" s="26" t="s">
        <v>201</v>
      </c>
      <c r="G6" s="26" t="s">
        <v>202</v>
      </c>
      <c r="H6" s="26" t="str">
        <f>IF(COUNTA(LOG_202608!$L$6:$L$200)=0,"",COUNTIF(LOG_202608!$L$6:$L$200,"불가")/COUNTA(LOG_202608!$L$6:$L$200))</f>
        <v/>
      </c>
    </row>
    <row r="7" spans="1:8" ht="51" x14ac:dyDescent="0.45">
      <c r="A7" s="26"/>
      <c r="B7" s="26" t="str">
        <f>IF($A7="","",COUNTIF(LOG_202608!$R:$R,$A7))</f>
        <v/>
      </c>
      <c r="C7" s="26"/>
      <c r="D7" s="26" t="str">
        <f t="shared" si="0"/>
        <v/>
      </c>
      <c r="F7" s="26" t="s">
        <v>203</v>
      </c>
      <c r="G7" s="26" t="s">
        <v>204</v>
      </c>
      <c r="H7" s="26" t="str">
        <f>IF(COUNTA(LOG_202608!$N$6:$N$200)=0,"",COUNTIF(LOG_202608!$N$6:$N$200,"&lt;&gt;")/COUNTA(LOG_202608!$L$6:$L$200))</f>
        <v/>
      </c>
    </row>
    <row r="8" spans="1:8" x14ac:dyDescent="0.45">
      <c r="A8" s="26"/>
      <c r="B8" s="26" t="str">
        <f>IF($A8="","",COUNTIF(LOG_202608!$R:$R,$A8))</f>
        <v/>
      </c>
      <c r="C8" s="26"/>
      <c r="D8" s="26" t="str">
        <f t="shared" si="0"/>
        <v/>
      </c>
    </row>
    <row r="9" spans="1:8" x14ac:dyDescent="0.45">
      <c r="A9" s="26"/>
      <c r="B9" s="26" t="str">
        <f>IF($A9="","",COUNTIF(LOG_202608!$R:$R,$A9))</f>
        <v/>
      </c>
      <c r="C9" s="26"/>
      <c r="D9" s="26" t="str">
        <f t="shared" si="0"/>
        <v/>
      </c>
    </row>
    <row r="10" spans="1:8" x14ac:dyDescent="0.45">
      <c r="A10" s="26"/>
      <c r="B10" s="26" t="str">
        <f>IF($A10="","",COUNTIF(LOG_202608!$R:$R,$A10))</f>
        <v/>
      </c>
      <c r="C10" s="26"/>
      <c r="D10" s="26" t="str">
        <f t="shared" si="0"/>
        <v/>
      </c>
    </row>
    <row r="11" spans="1:8" x14ac:dyDescent="0.45">
      <c r="A11" s="26"/>
      <c r="B11" s="26" t="str">
        <f>IF($A11="","",COUNTIF(LOG_202608!$R:$R,$A11))</f>
        <v/>
      </c>
      <c r="C11" s="26"/>
      <c r="D11" s="26" t="str">
        <f t="shared" si="0"/>
        <v/>
      </c>
    </row>
    <row r="12" spans="1:8" x14ac:dyDescent="0.45">
      <c r="A12" s="26"/>
      <c r="B12" s="26" t="str">
        <f>IF($A12="","",COUNTIF(LOG_202608!$R:$R,$A12))</f>
        <v/>
      </c>
      <c r="C12" s="26"/>
      <c r="D12" s="26" t="str">
        <f t="shared" si="0"/>
        <v/>
      </c>
    </row>
    <row r="13" spans="1:8" x14ac:dyDescent="0.45">
      <c r="A13" s="26"/>
      <c r="B13" s="26" t="str">
        <f>IF($A13="","",COUNTIF(LOG_202608!$R:$R,$A13))</f>
        <v/>
      </c>
      <c r="C13" s="26"/>
      <c r="D13" s="26" t="str">
        <f t="shared" si="0"/>
        <v/>
      </c>
    </row>
    <row r="14" spans="1:8" x14ac:dyDescent="0.45">
      <c r="A14" s="26"/>
      <c r="B14" s="26" t="str">
        <f>IF($A14="","",COUNTIF(LOG_202608!$R:$R,$A14))</f>
        <v/>
      </c>
      <c r="C14" s="26"/>
      <c r="D14" s="26" t="str">
        <f t="shared" si="0"/>
        <v/>
      </c>
    </row>
    <row r="15" spans="1:8" x14ac:dyDescent="0.45">
      <c r="A15" s="26"/>
      <c r="B15" s="26" t="str">
        <f>IF($A15="","",COUNTIF(LOG_202608!$R:$R,$A15))</f>
        <v/>
      </c>
      <c r="C15" s="26"/>
      <c r="D15" s="26" t="str">
        <f t="shared" si="0"/>
        <v/>
      </c>
    </row>
    <row r="16" spans="1:8" x14ac:dyDescent="0.45">
      <c r="A16" s="26"/>
      <c r="B16" s="26" t="str">
        <f>IF($A16="","",COUNTIF(LOG_202608!$R:$R,$A16))</f>
        <v/>
      </c>
      <c r="C16" s="26"/>
      <c r="D16" s="26" t="str">
        <f t="shared" si="0"/>
        <v/>
      </c>
    </row>
    <row r="17" spans="1:4" x14ac:dyDescent="0.45">
      <c r="A17" s="26"/>
      <c r="B17" s="26" t="str">
        <f>IF($A17="","",COUNTIF(LOG_202608!$R:$R,$A17))</f>
        <v/>
      </c>
      <c r="C17" s="26"/>
      <c r="D17" s="26" t="str">
        <f t="shared" si="0"/>
        <v/>
      </c>
    </row>
    <row r="18" spans="1:4" x14ac:dyDescent="0.45">
      <c r="A18" s="26"/>
      <c r="B18" s="26" t="str">
        <f>IF($A18="","",COUNTIF(LOG_202608!$R:$R,$A18))</f>
        <v/>
      </c>
      <c r="C18" s="26"/>
      <c r="D18" s="26" t="str">
        <f t="shared" si="0"/>
        <v/>
      </c>
    </row>
    <row r="19" spans="1:4" x14ac:dyDescent="0.45">
      <c r="A19" s="26"/>
      <c r="B19" s="26" t="str">
        <f>IF($A19="","",COUNTIF(LOG_202608!$R:$R,$A19))</f>
        <v/>
      </c>
      <c r="C19" s="26"/>
      <c r="D19" s="26" t="str">
        <f t="shared" si="0"/>
        <v/>
      </c>
    </row>
    <row r="20" spans="1:4" x14ac:dyDescent="0.45">
      <c r="A20" s="26"/>
      <c r="B20" s="26" t="str">
        <f>IF($A20="","",COUNTIF(LOG_202608!$R:$R,$A20))</f>
        <v/>
      </c>
      <c r="C20" s="26"/>
      <c r="D20" s="26" t="str">
        <f t="shared" si="0"/>
        <v/>
      </c>
    </row>
    <row r="21" spans="1:4" x14ac:dyDescent="0.45">
      <c r="A21" s="26"/>
      <c r="B21" s="26" t="str">
        <f>IF($A21="","",COUNTIF(LOG_202608!$R:$R,$A21))</f>
        <v/>
      </c>
      <c r="C21" s="26"/>
      <c r="D21" s="26" t="str">
        <f t="shared" si="0"/>
        <v/>
      </c>
    </row>
    <row r="22" spans="1:4" x14ac:dyDescent="0.45">
      <c r="A22" s="26"/>
      <c r="B22" s="26" t="str">
        <f>IF($A22="","",COUNTIF(LOG_202608!$R:$R,$A22))</f>
        <v/>
      </c>
      <c r="C22" s="26"/>
      <c r="D22" s="26" t="str">
        <f t="shared" si="0"/>
        <v/>
      </c>
    </row>
    <row r="23" spans="1:4" x14ac:dyDescent="0.45">
      <c r="A23" s="26"/>
      <c r="B23" s="26" t="str">
        <f>IF($A23="","",COUNTIF(LOG_202608!$R:$R,$A23))</f>
        <v/>
      </c>
      <c r="C23" s="26"/>
      <c r="D23" s="26" t="str">
        <f t="shared" si="0"/>
        <v/>
      </c>
    </row>
    <row r="24" spans="1:4" x14ac:dyDescent="0.45">
      <c r="A24" s="26"/>
      <c r="B24" s="26" t="str">
        <f>IF($A24="","",COUNTIF(LOG_202608!$R:$R,$A24))</f>
        <v/>
      </c>
      <c r="C24" s="26"/>
      <c r="D24" s="26" t="str">
        <f t="shared" si="0"/>
        <v/>
      </c>
    </row>
    <row r="25" spans="1:4" x14ac:dyDescent="0.45">
      <c r="A25" s="26"/>
      <c r="B25" s="26" t="str">
        <f>IF($A25="","",COUNTIF(LOG_202608!$R:$R,$A25))</f>
        <v/>
      </c>
      <c r="C25" s="26"/>
      <c r="D25" s="26" t="str">
        <f t="shared" si="0"/>
        <v/>
      </c>
    </row>
  </sheetData>
  <mergeCells count="1">
    <mergeCell ref="A1:H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INPUT</vt:lpstr>
      <vt:lpstr>DB</vt:lpstr>
      <vt:lpstr>RULE</vt:lpstr>
      <vt:lpstr>OUTPUT</vt:lpstr>
      <vt:lpstr>ANALYSIS_202607</vt:lpstr>
      <vt:lpstr>TEST_RESULTS_202607</vt:lpstr>
      <vt:lpstr>CAPTURE_GUIDE</vt:lpstr>
      <vt:lpstr>ANALYSIS_202608</vt:lpstr>
      <vt:lpstr>LOG_202608</vt:lpstr>
      <vt:lpstr>METRICS_202608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이태영</cp:lastModifiedBy>
  <dcterms:created xsi:type="dcterms:W3CDTF">2026-02-05T15:29:37Z</dcterms:created>
  <dcterms:modified xsi:type="dcterms:W3CDTF">2026-02-06T15:26:31Z</dcterms:modified>
</cp:coreProperties>
</file>